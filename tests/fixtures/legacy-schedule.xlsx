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https://stadtwerkejena.sharepoint.com/sites/GemeinschaftsbetriebsratJNVJES2026-2030-4Fahrdienstausschuss/Freigegebene Dokumente/Dienstpläne/JNV/Aktuell zur Kontrolle/DP Bus Bau Oberaue ab 270726/"/>
    </mc:Choice>
  </mc:AlternateContent>
  <xr:revisionPtr revIDLastSave="84" documentId="13_ncr:1_{41E571C5-CC75-4597-9565-17BE05C46405}" xr6:coauthVersionLast="47" xr6:coauthVersionMax="47" xr10:uidLastSave="{328896EC-B628-4718-9676-AE24F6BDB1C9}"/>
  <bookViews>
    <workbookView xWindow="-108" yWindow="-108" windowWidth="23256" windowHeight="12456" xr2:uid="{00000000-000D-0000-FFFF-FFFF00000000}"/>
  </bookViews>
  <sheets>
    <sheet name="Diensterklärung" sheetId="1" r:id="rId1"/>
    <sheet name="Kontrolle" sheetId="3" r:id="rId2"/>
    <sheet name="DUe" sheetId="2" r:id="rId3"/>
  </sheets>
  <definedNames>
    <definedName name="_xlnm.Print_Titles" localSheetId="2">DUe!$B:$B,DUe!$5:$7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25" i="3" l="1"/>
  <c r="W224" i="3"/>
  <c r="W223" i="3"/>
  <c r="W222" i="3"/>
  <c r="W221" i="3"/>
  <c r="W220" i="3"/>
  <c r="W219" i="3"/>
  <c r="W218" i="3"/>
  <c r="W217" i="3"/>
  <c r="W216" i="3"/>
  <c r="U216" i="3"/>
  <c r="S216" i="3"/>
  <c r="AE215" i="3"/>
  <c r="X215" i="3"/>
  <c r="AE214" i="3"/>
  <c r="AA214" i="3"/>
  <c r="Y214" i="3"/>
  <c r="Z214" i="3" s="1"/>
  <c r="W214" i="3"/>
  <c r="R214" i="3"/>
  <c r="AE213" i="3"/>
  <c r="AA213" i="3"/>
  <c r="Y213" i="3"/>
  <c r="Z213" i="3" s="1"/>
  <c r="W213" i="3"/>
  <c r="R213" i="3"/>
  <c r="AE212" i="3"/>
  <c r="AA212" i="3"/>
  <c r="Y212" i="3"/>
  <c r="Z212" i="3" s="1"/>
  <c r="W212" i="3"/>
  <c r="R212" i="3"/>
  <c r="AE211" i="3"/>
  <c r="AA211" i="3"/>
  <c r="Z211" i="3"/>
  <c r="Y211" i="3"/>
  <c r="W211" i="3"/>
  <c r="R211" i="3"/>
  <c r="AE210" i="3"/>
  <c r="AA210" i="3"/>
  <c r="Y210" i="3"/>
  <c r="Z210" i="3" s="1"/>
  <c r="W210" i="3"/>
  <c r="R210" i="3"/>
  <c r="AE209" i="3"/>
  <c r="AA209" i="3"/>
  <c r="Y209" i="3"/>
  <c r="Z209" i="3" s="1"/>
  <c r="W209" i="3"/>
  <c r="R209" i="3"/>
  <c r="AE208" i="3"/>
  <c r="AA208" i="3"/>
  <c r="Y208" i="3"/>
  <c r="Z208" i="3" s="1"/>
  <c r="W208" i="3"/>
  <c r="R208" i="3"/>
  <c r="AE207" i="3"/>
  <c r="AA207" i="3"/>
  <c r="Y207" i="3"/>
  <c r="Z207" i="3" s="1"/>
  <c r="W207" i="3"/>
  <c r="R207" i="3"/>
  <c r="AE206" i="3"/>
  <c r="AA206" i="3"/>
  <c r="Y206" i="3"/>
  <c r="Z206" i="3" s="1"/>
  <c r="W206" i="3"/>
  <c r="R206" i="3"/>
  <c r="AE205" i="3"/>
  <c r="AA205" i="3"/>
  <c r="Y205" i="3"/>
  <c r="Z205" i="3" s="1"/>
  <c r="W205" i="3"/>
  <c r="R205" i="3"/>
  <c r="AE204" i="3"/>
  <c r="AA204" i="3"/>
  <c r="Z204" i="3"/>
  <c r="Y204" i="3"/>
  <c r="W204" i="3"/>
  <c r="R204" i="3"/>
  <c r="AE203" i="3"/>
  <c r="AA203" i="3"/>
  <c r="Y203" i="3"/>
  <c r="Z203" i="3" s="1"/>
  <c r="W203" i="3"/>
  <c r="R203" i="3"/>
  <c r="AE202" i="3"/>
  <c r="AA202" i="3"/>
  <c r="Y202" i="3"/>
  <c r="Z202" i="3" s="1"/>
  <c r="W202" i="3"/>
  <c r="R202" i="3"/>
  <c r="AE201" i="3"/>
  <c r="AA201" i="3"/>
  <c r="Y201" i="3"/>
  <c r="Z201" i="3" s="1"/>
  <c r="W201" i="3"/>
  <c r="R201" i="3"/>
  <c r="AE200" i="3"/>
  <c r="AA200" i="3"/>
  <c r="Y200" i="3"/>
  <c r="Z200" i="3" s="1"/>
  <c r="W200" i="3"/>
  <c r="R200" i="3"/>
  <c r="AE199" i="3"/>
  <c r="AA199" i="3"/>
  <c r="Y199" i="3"/>
  <c r="Z199" i="3" s="1"/>
  <c r="W199" i="3"/>
  <c r="R199" i="3"/>
  <c r="AE198" i="3"/>
  <c r="AA198" i="3"/>
  <c r="Y198" i="3"/>
  <c r="Z198" i="3" s="1"/>
  <c r="W198" i="3"/>
  <c r="R198" i="3"/>
  <c r="AE197" i="3"/>
  <c r="AA197" i="3"/>
  <c r="Y197" i="3"/>
  <c r="Z197" i="3" s="1"/>
  <c r="W197" i="3"/>
  <c r="R197" i="3"/>
  <c r="AE196" i="3"/>
  <c r="AA196" i="3"/>
  <c r="Z196" i="3"/>
  <c r="Y196" i="3"/>
  <c r="W196" i="3"/>
  <c r="R196" i="3"/>
  <c r="AE195" i="3"/>
  <c r="AA195" i="3"/>
  <c r="Y195" i="3"/>
  <c r="Z195" i="3" s="1"/>
  <c r="W195" i="3"/>
  <c r="R195" i="3"/>
  <c r="AE194" i="3"/>
  <c r="AA194" i="3"/>
  <c r="Y194" i="3"/>
  <c r="Z194" i="3" s="1"/>
  <c r="W194" i="3"/>
  <c r="R194" i="3"/>
  <c r="AE193" i="3"/>
  <c r="AA193" i="3"/>
  <c r="Y193" i="3"/>
  <c r="Z193" i="3" s="1"/>
  <c r="W193" i="3"/>
  <c r="R193" i="3"/>
  <c r="AE192" i="3"/>
  <c r="AA192" i="3"/>
  <c r="Y192" i="3"/>
  <c r="Z192" i="3" s="1"/>
  <c r="W192" i="3"/>
  <c r="R192" i="3"/>
  <c r="AE191" i="3"/>
  <c r="AA191" i="3"/>
  <c r="Y191" i="3"/>
  <c r="Z191" i="3" s="1"/>
  <c r="W191" i="3"/>
  <c r="R191" i="3"/>
  <c r="AE190" i="3"/>
  <c r="AA190" i="3"/>
  <c r="Y190" i="3"/>
  <c r="Z190" i="3" s="1"/>
  <c r="W190" i="3"/>
  <c r="R190" i="3"/>
  <c r="AE189" i="3"/>
  <c r="AA189" i="3"/>
  <c r="Y189" i="3"/>
  <c r="Z189" i="3" s="1"/>
  <c r="W189" i="3"/>
  <c r="R189" i="3"/>
  <c r="AE188" i="3"/>
  <c r="AA188" i="3"/>
  <c r="Y188" i="3"/>
  <c r="Z188" i="3" s="1"/>
  <c r="W188" i="3"/>
  <c r="R188" i="3"/>
  <c r="AE187" i="3"/>
  <c r="AA187" i="3"/>
  <c r="Z187" i="3"/>
  <c r="Y187" i="3"/>
  <c r="W187" i="3"/>
  <c r="R187" i="3"/>
  <c r="AE186" i="3"/>
  <c r="AA186" i="3"/>
  <c r="Y186" i="3"/>
  <c r="Z186" i="3" s="1"/>
  <c r="W186" i="3"/>
  <c r="R186" i="3"/>
  <c r="AE185" i="3"/>
  <c r="AA185" i="3"/>
  <c r="Y185" i="3"/>
  <c r="Z185" i="3" s="1"/>
  <c r="W185" i="3"/>
  <c r="R185" i="3"/>
  <c r="AE184" i="3"/>
  <c r="AA184" i="3"/>
  <c r="Y184" i="3"/>
  <c r="Z184" i="3" s="1"/>
  <c r="W184" i="3"/>
  <c r="R184" i="3"/>
  <c r="AE183" i="3"/>
  <c r="AA183" i="3"/>
  <c r="Y183" i="3"/>
  <c r="Z183" i="3" s="1"/>
  <c r="W183" i="3"/>
  <c r="R183" i="3"/>
  <c r="AE182" i="3"/>
  <c r="AA182" i="3"/>
  <c r="Y182" i="3"/>
  <c r="Z182" i="3" s="1"/>
  <c r="W182" i="3"/>
  <c r="R182" i="3"/>
  <c r="AE181" i="3"/>
  <c r="AA181" i="3"/>
  <c r="Y181" i="3"/>
  <c r="Z181" i="3" s="1"/>
  <c r="W181" i="3"/>
  <c r="R181" i="3"/>
  <c r="AE180" i="3"/>
  <c r="AA180" i="3"/>
  <c r="Z180" i="3"/>
  <c r="Y180" i="3"/>
  <c r="W180" i="3"/>
  <c r="R180" i="3"/>
  <c r="AE179" i="3"/>
  <c r="AA179" i="3"/>
  <c r="Y179" i="3"/>
  <c r="Z179" i="3" s="1"/>
  <c r="W179" i="3"/>
  <c r="R179" i="3"/>
  <c r="AE178" i="3"/>
  <c r="AA178" i="3"/>
  <c r="Z178" i="3"/>
  <c r="Y178" i="3"/>
  <c r="W178" i="3"/>
  <c r="R178" i="3"/>
  <c r="AE177" i="3"/>
  <c r="AA177" i="3"/>
  <c r="Y177" i="3"/>
  <c r="Z177" i="3" s="1"/>
  <c r="W177" i="3"/>
  <c r="R177" i="3"/>
  <c r="AE176" i="3"/>
  <c r="AA176" i="3"/>
  <c r="Y176" i="3"/>
  <c r="Z176" i="3" s="1"/>
  <c r="W176" i="3"/>
  <c r="R176" i="3"/>
  <c r="AE175" i="3"/>
  <c r="AA175" i="3"/>
  <c r="Z175" i="3"/>
  <c r="Y175" i="3"/>
  <c r="W175" i="3"/>
  <c r="R175" i="3"/>
  <c r="AE174" i="3"/>
  <c r="AA174" i="3"/>
  <c r="Y174" i="3"/>
  <c r="Z174" i="3" s="1"/>
  <c r="W174" i="3"/>
  <c r="R174" i="3"/>
  <c r="AE173" i="3"/>
  <c r="AA173" i="3"/>
  <c r="Y173" i="3"/>
  <c r="Z173" i="3" s="1"/>
  <c r="W173" i="3"/>
  <c r="R173" i="3"/>
  <c r="AE172" i="3"/>
  <c r="AA172" i="3"/>
  <c r="Y172" i="3"/>
  <c r="Z172" i="3" s="1"/>
  <c r="W172" i="3"/>
  <c r="R172" i="3"/>
  <c r="AE171" i="3"/>
  <c r="AA171" i="3"/>
  <c r="Z171" i="3"/>
  <c r="Y171" i="3"/>
  <c r="W171" i="3"/>
  <c r="R171" i="3"/>
  <c r="AE170" i="3"/>
  <c r="AA170" i="3"/>
  <c r="Y170" i="3"/>
  <c r="Z170" i="3" s="1"/>
  <c r="W170" i="3"/>
  <c r="R170" i="3"/>
  <c r="AE169" i="3"/>
  <c r="AA169" i="3"/>
  <c r="Y169" i="3"/>
  <c r="Z169" i="3" s="1"/>
  <c r="W169" i="3"/>
  <c r="R169" i="3"/>
  <c r="AE168" i="3"/>
  <c r="AA168" i="3"/>
  <c r="Y168" i="3"/>
  <c r="Z168" i="3" s="1"/>
  <c r="W168" i="3"/>
  <c r="R168" i="3"/>
  <c r="AE167" i="3"/>
  <c r="AA167" i="3"/>
  <c r="Y167" i="3"/>
  <c r="Z167" i="3" s="1"/>
  <c r="W167" i="3"/>
  <c r="R167" i="3"/>
  <c r="AE166" i="3"/>
  <c r="AA166" i="3"/>
  <c r="Y166" i="3"/>
  <c r="Z166" i="3" s="1"/>
  <c r="W166" i="3"/>
  <c r="R166" i="3"/>
  <c r="AE165" i="3"/>
  <c r="AA165" i="3"/>
  <c r="Y165" i="3"/>
  <c r="Z165" i="3" s="1"/>
  <c r="W165" i="3"/>
  <c r="R165" i="3"/>
  <c r="AE164" i="3"/>
  <c r="AA164" i="3"/>
  <c r="Y164" i="3"/>
  <c r="Z164" i="3" s="1"/>
  <c r="W164" i="3"/>
  <c r="R164" i="3"/>
  <c r="AE163" i="3"/>
  <c r="AA163" i="3"/>
  <c r="Z163" i="3"/>
  <c r="Y163" i="3"/>
  <c r="W163" i="3"/>
  <c r="R163" i="3"/>
  <c r="AE162" i="3"/>
  <c r="AA162" i="3"/>
  <c r="Y162" i="3"/>
  <c r="Z162" i="3" s="1"/>
  <c r="W162" i="3"/>
  <c r="R162" i="3"/>
  <c r="AE161" i="3"/>
  <c r="AA161" i="3"/>
  <c r="Y161" i="3"/>
  <c r="Z161" i="3" s="1"/>
  <c r="W161" i="3"/>
  <c r="R161" i="3"/>
  <c r="AE160" i="3"/>
  <c r="AA160" i="3"/>
  <c r="Y160" i="3"/>
  <c r="Z160" i="3" s="1"/>
  <c r="W160" i="3"/>
  <c r="R160" i="3"/>
  <c r="AE159" i="3"/>
  <c r="AA159" i="3"/>
  <c r="Y159" i="3"/>
  <c r="Z159" i="3" s="1"/>
  <c r="W159" i="3"/>
  <c r="R159" i="3"/>
  <c r="AE158" i="3"/>
  <c r="AA158" i="3"/>
  <c r="Y158" i="3"/>
  <c r="Z158" i="3" s="1"/>
  <c r="W158" i="3"/>
  <c r="R158" i="3"/>
  <c r="AE157" i="3"/>
  <c r="AA157" i="3"/>
  <c r="Y157" i="3"/>
  <c r="Z157" i="3" s="1"/>
  <c r="W157" i="3"/>
  <c r="R157" i="3"/>
  <c r="AE156" i="3"/>
  <c r="AA156" i="3"/>
  <c r="Z156" i="3"/>
  <c r="Y156" i="3"/>
  <c r="W156" i="3"/>
  <c r="R156" i="3"/>
  <c r="AE155" i="3"/>
  <c r="AA155" i="3"/>
  <c r="Y155" i="3"/>
  <c r="Z155" i="3" s="1"/>
  <c r="W155" i="3"/>
  <c r="R155" i="3"/>
  <c r="AE154" i="3"/>
  <c r="AA154" i="3"/>
  <c r="Y154" i="3"/>
  <c r="Z154" i="3" s="1"/>
  <c r="W154" i="3"/>
  <c r="R154" i="3"/>
  <c r="AE153" i="3"/>
  <c r="AA153" i="3"/>
  <c r="Y153" i="3"/>
  <c r="Z153" i="3" s="1"/>
  <c r="W153" i="3"/>
  <c r="R153" i="3"/>
  <c r="AE152" i="3"/>
  <c r="AA152" i="3"/>
  <c r="Y152" i="3"/>
  <c r="Z152" i="3" s="1"/>
  <c r="W152" i="3"/>
  <c r="R152" i="3"/>
  <c r="AE151" i="3"/>
  <c r="AA151" i="3"/>
  <c r="Y151" i="3"/>
  <c r="Z151" i="3" s="1"/>
  <c r="W151" i="3"/>
  <c r="R151" i="3"/>
  <c r="AE150" i="3"/>
  <c r="AA150" i="3"/>
  <c r="Z150" i="3"/>
  <c r="Y150" i="3"/>
  <c r="W150" i="3"/>
  <c r="R150" i="3"/>
  <c r="AE149" i="3"/>
  <c r="AA149" i="3"/>
  <c r="Y149" i="3"/>
  <c r="Z149" i="3" s="1"/>
  <c r="W149" i="3"/>
  <c r="R149" i="3"/>
  <c r="AE148" i="3"/>
  <c r="AA148" i="3"/>
  <c r="Z148" i="3"/>
  <c r="Y148" i="3"/>
  <c r="W148" i="3"/>
  <c r="R148" i="3"/>
  <c r="AE147" i="3"/>
  <c r="AA147" i="3"/>
  <c r="Y147" i="3"/>
  <c r="Z147" i="3" s="1"/>
  <c r="W147" i="3"/>
  <c r="R147" i="3"/>
  <c r="AE146" i="3"/>
  <c r="AA146" i="3"/>
  <c r="Y146" i="3"/>
  <c r="Z146" i="3" s="1"/>
  <c r="W146" i="3"/>
  <c r="R146" i="3"/>
  <c r="AE145" i="3"/>
  <c r="AA145" i="3"/>
  <c r="Y145" i="3"/>
  <c r="Z145" i="3" s="1"/>
  <c r="W145" i="3"/>
  <c r="R145" i="3"/>
  <c r="AE144" i="3"/>
  <c r="AA144" i="3"/>
  <c r="Y144" i="3"/>
  <c r="Z144" i="3" s="1"/>
  <c r="W144" i="3"/>
  <c r="R144" i="3"/>
  <c r="AE143" i="3"/>
  <c r="AA143" i="3"/>
  <c r="Y143" i="3"/>
  <c r="Z143" i="3" s="1"/>
  <c r="W143" i="3"/>
  <c r="R143" i="3"/>
  <c r="AE142" i="3"/>
  <c r="AA142" i="3"/>
  <c r="Y142" i="3"/>
  <c r="Z142" i="3" s="1"/>
  <c r="W142" i="3"/>
  <c r="R142" i="3"/>
  <c r="AE141" i="3"/>
  <c r="AA141" i="3"/>
  <c r="Y141" i="3"/>
  <c r="Z141" i="3" s="1"/>
  <c r="W141" i="3"/>
  <c r="R141" i="3"/>
  <c r="AE140" i="3"/>
  <c r="AA140" i="3"/>
  <c r="Y140" i="3"/>
  <c r="Z140" i="3" s="1"/>
  <c r="W140" i="3"/>
  <c r="R140" i="3"/>
  <c r="AE139" i="3"/>
  <c r="AA139" i="3"/>
  <c r="Y139" i="3"/>
  <c r="Z139" i="3" s="1"/>
  <c r="W139" i="3"/>
  <c r="R139" i="3"/>
  <c r="AE138" i="3"/>
  <c r="AA138" i="3"/>
  <c r="Z138" i="3"/>
  <c r="Y138" i="3"/>
  <c r="W138" i="3"/>
  <c r="R138" i="3"/>
  <c r="AE137" i="3"/>
  <c r="AA137" i="3"/>
  <c r="Y137" i="3"/>
  <c r="Z137" i="3" s="1"/>
  <c r="W137" i="3"/>
  <c r="R137" i="3"/>
  <c r="AE136" i="3"/>
  <c r="AA136" i="3"/>
  <c r="Z136" i="3"/>
  <c r="Y136" i="3"/>
  <c r="W136" i="3"/>
  <c r="R136" i="3"/>
  <c r="AE135" i="3"/>
  <c r="AA135" i="3"/>
  <c r="Y135" i="3"/>
  <c r="Z135" i="3" s="1"/>
  <c r="W135" i="3"/>
  <c r="R135" i="3"/>
  <c r="AE134" i="3"/>
  <c r="AA134" i="3"/>
  <c r="Y134" i="3"/>
  <c r="Z134" i="3" s="1"/>
  <c r="W134" i="3"/>
  <c r="R134" i="3"/>
  <c r="AE133" i="3"/>
  <c r="AA133" i="3"/>
  <c r="Y133" i="3"/>
  <c r="Z133" i="3" s="1"/>
  <c r="W133" i="3"/>
  <c r="R133" i="3"/>
  <c r="AE132" i="3"/>
  <c r="AA132" i="3"/>
  <c r="Z132" i="3"/>
  <c r="Y132" i="3"/>
  <c r="W132" i="3"/>
  <c r="R132" i="3"/>
  <c r="AE131" i="3"/>
  <c r="AA131" i="3"/>
  <c r="Z131" i="3"/>
  <c r="Y131" i="3"/>
  <c r="W131" i="3"/>
  <c r="R131" i="3"/>
  <c r="AE130" i="3"/>
  <c r="AA130" i="3"/>
  <c r="Y130" i="3"/>
  <c r="Z130" i="3" s="1"/>
  <c r="W130" i="3"/>
  <c r="R130" i="3"/>
  <c r="AE129" i="3"/>
  <c r="AA129" i="3"/>
  <c r="Y129" i="3"/>
  <c r="Z129" i="3" s="1"/>
  <c r="W129" i="3"/>
  <c r="R129" i="3"/>
  <c r="AE128" i="3"/>
  <c r="AA128" i="3"/>
  <c r="Y128" i="3"/>
  <c r="Z128" i="3" s="1"/>
  <c r="W128" i="3"/>
  <c r="R128" i="3"/>
  <c r="AE127" i="3"/>
  <c r="AA127" i="3"/>
  <c r="Y127" i="3"/>
  <c r="Z127" i="3" s="1"/>
  <c r="W127" i="3"/>
  <c r="R127" i="3"/>
  <c r="AE126" i="3"/>
  <c r="AA126" i="3"/>
  <c r="Y126" i="3"/>
  <c r="Z126" i="3" s="1"/>
  <c r="W126" i="3"/>
  <c r="R126" i="3"/>
  <c r="AE125" i="3"/>
  <c r="AA125" i="3"/>
  <c r="Y125" i="3"/>
  <c r="Z125" i="3" s="1"/>
  <c r="W125" i="3"/>
  <c r="R125" i="3"/>
  <c r="AE124" i="3"/>
  <c r="AA124" i="3"/>
  <c r="Z124" i="3"/>
  <c r="Y124" i="3"/>
  <c r="W124" i="3"/>
  <c r="R124" i="3"/>
  <c r="AE123" i="3"/>
  <c r="AA123" i="3"/>
  <c r="Z123" i="3"/>
  <c r="Y123" i="3"/>
  <c r="W123" i="3"/>
  <c r="R123" i="3"/>
  <c r="AE122" i="3"/>
  <c r="AA122" i="3"/>
  <c r="Y122" i="3"/>
  <c r="Z122" i="3" s="1"/>
  <c r="W122" i="3"/>
  <c r="R122" i="3"/>
  <c r="AE121" i="3"/>
  <c r="AA121" i="3"/>
  <c r="Y121" i="3"/>
  <c r="Z121" i="3" s="1"/>
  <c r="W121" i="3"/>
  <c r="R121" i="3"/>
  <c r="AE120" i="3"/>
  <c r="AA120" i="3"/>
  <c r="Y120" i="3"/>
  <c r="Z120" i="3" s="1"/>
  <c r="W120" i="3"/>
  <c r="R120" i="3"/>
  <c r="AE119" i="3"/>
  <c r="AA119" i="3"/>
  <c r="Y119" i="3"/>
  <c r="Z119" i="3" s="1"/>
  <c r="W119" i="3"/>
  <c r="R119" i="3"/>
  <c r="AE118" i="3"/>
  <c r="AA118" i="3"/>
  <c r="Y118" i="3"/>
  <c r="Z118" i="3" s="1"/>
  <c r="W118" i="3"/>
  <c r="R118" i="3"/>
  <c r="AE117" i="3"/>
  <c r="AA117" i="3"/>
  <c r="Y117" i="3"/>
  <c r="Z117" i="3" s="1"/>
  <c r="W117" i="3"/>
  <c r="R117" i="3"/>
  <c r="AE116" i="3"/>
  <c r="AA116" i="3"/>
  <c r="Y116" i="3"/>
  <c r="Z116" i="3" s="1"/>
  <c r="W116" i="3"/>
  <c r="R116" i="3"/>
  <c r="AE115" i="3"/>
  <c r="AA115" i="3"/>
  <c r="Y115" i="3"/>
  <c r="Z115" i="3" s="1"/>
  <c r="W115" i="3"/>
  <c r="R115" i="3"/>
  <c r="AE114" i="3"/>
  <c r="AA114" i="3"/>
  <c r="Z114" i="3"/>
  <c r="Y114" i="3"/>
  <c r="W114" i="3"/>
  <c r="R114" i="3"/>
  <c r="AE113" i="3"/>
  <c r="AA113" i="3"/>
  <c r="Y113" i="3"/>
  <c r="Z113" i="3" s="1"/>
  <c r="W113" i="3"/>
  <c r="R113" i="3"/>
  <c r="AE112" i="3"/>
  <c r="AA112" i="3"/>
  <c r="Y112" i="3"/>
  <c r="Z112" i="3" s="1"/>
  <c r="W112" i="3"/>
  <c r="R112" i="3"/>
  <c r="AE111" i="3"/>
  <c r="AA111" i="3"/>
  <c r="Z111" i="3"/>
  <c r="Y111" i="3"/>
  <c r="W111" i="3"/>
  <c r="R111" i="3"/>
  <c r="AE110" i="3"/>
  <c r="AA110" i="3"/>
  <c r="Y110" i="3"/>
  <c r="Z110" i="3" s="1"/>
  <c r="W110" i="3"/>
  <c r="R110" i="3"/>
  <c r="AE109" i="3"/>
  <c r="AA109" i="3"/>
  <c r="Y109" i="3"/>
  <c r="Z109" i="3" s="1"/>
  <c r="W109" i="3"/>
  <c r="R109" i="3"/>
  <c r="AE108" i="3"/>
  <c r="AA108" i="3"/>
  <c r="Y108" i="3"/>
  <c r="Z108" i="3" s="1"/>
  <c r="W108" i="3"/>
  <c r="R108" i="3"/>
  <c r="AE107" i="3"/>
  <c r="AA107" i="3"/>
  <c r="Y107" i="3"/>
  <c r="Z107" i="3" s="1"/>
  <c r="W107" i="3"/>
  <c r="R107" i="3"/>
  <c r="AE106" i="3"/>
  <c r="AA106" i="3"/>
  <c r="Y106" i="3"/>
  <c r="Z106" i="3" s="1"/>
  <c r="W106" i="3"/>
  <c r="R106" i="3"/>
  <c r="AE105" i="3"/>
  <c r="AA105" i="3"/>
  <c r="Y105" i="3"/>
  <c r="Z105" i="3" s="1"/>
  <c r="W105" i="3"/>
  <c r="R105" i="3"/>
  <c r="AE104" i="3"/>
  <c r="AA104" i="3"/>
  <c r="Z104" i="3"/>
  <c r="Y104" i="3"/>
  <c r="W104" i="3"/>
  <c r="R104" i="3"/>
  <c r="AE103" i="3"/>
  <c r="AA103" i="3"/>
  <c r="Y103" i="3"/>
  <c r="Z103" i="3" s="1"/>
  <c r="W103" i="3"/>
  <c r="R103" i="3"/>
  <c r="AE102" i="3"/>
  <c r="AA102" i="3"/>
  <c r="Y102" i="3"/>
  <c r="Z102" i="3" s="1"/>
  <c r="W102" i="3"/>
  <c r="R102" i="3"/>
  <c r="AE101" i="3"/>
  <c r="AA101" i="3"/>
  <c r="Y101" i="3"/>
  <c r="Z101" i="3" s="1"/>
  <c r="W101" i="3"/>
  <c r="R101" i="3"/>
  <c r="AE100" i="3"/>
  <c r="AA100" i="3"/>
  <c r="Y100" i="3"/>
  <c r="Z100" i="3" s="1"/>
  <c r="W100" i="3"/>
  <c r="R100" i="3"/>
  <c r="AE99" i="3"/>
  <c r="AA99" i="3"/>
  <c r="Y99" i="3"/>
  <c r="Z99" i="3" s="1"/>
  <c r="W99" i="3"/>
  <c r="R99" i="3"/>
  <c r="AE98" i="3"/>
  <c r="AA98" i="3"/>
  <c r="Y98" i="3"/>
  <c r="Z98" i="3" s="1"/>
  <c r="W98" i="3"/>
  <c r="R98" i="3"/>
  <c r="AE97" i="3"/>
  <c r="AA97" i="3"/>
  <c r="Y97" i="3"/>
  <c r="Z97" i="3" s="1"/>
  <c r="W97" i="3"/>
  <c r="R97" i="3"/>
  <c r="AE96" i="3"/>
  <c r="AA96" i="3"/>
  <c r="Y96" i="3"/>
  <c r="Z96" i="3" s="1"/>
  <c r="W96" i="3"/>
  <c r="R96" i="3"/>
  <c r="AE95" i="3"/>
  <c r="AA95" i="3"/>
  <c r="Y95" i="3"/>
  <c r="Z95" i="3" s="1"/>
  <c r="W95" i="3"/>
  <c r="R95" i="3"/>
  <c r="AE94" i="3"/>
  <c r="AA94" i="3"/>
  <c r="Y94" i="3"/>
  <c r="Z94" i="3" s="1"/>
  <c r="W94" i="3"/>
  <c r="R94" i="3"/>
  <c r="AE93" i="3"/>
  <c r="AA93" i="3"/>
  <c r="Y93" i="3"/>
  <c r="Z93" i="3" s="1"/>
  <c r="W93" i="3"/>
  <c r="R93" i="3"/>
  <c r="AE92" i="3"/>
  <c r="AA92" i="3"/>
  <c r="Z92" i="3"/>
  <c r="Y92" i="3"/>
  <c r="W92" i="3"/>
  <c r="R92" i="3"/>
  <c r="AE91" i="3"/>
  <c r="AA91" i="3"/>
  <c r="Y91" i="3"/>
  <c r="Z91" i="3" s="1"/>
  <c r="W91" i="3"/>
  <c r="R91" i="3"/>
  <c r="AE90" i="3"/>
  <c r="AA90" i="3"/>
  <c r="Y90" i="3"/>
  <c r="Z90" i="3" s="1"/>
  <c r="W90" i="3"/>
  <c r="R90" i="3"/>
  <c r="AE89" i="3"/>
  <c r="AA89" i="3"/>
  <c r="Y89" i="3"/>
  <c r="Z89" i="3" s="1"/>
  <c r="W89" i="3"/>
  <c r="R89" i="3"/>
  <c r="AE88" i="3"/>
  <c r="AA88" i="3"/>
  <c r="Y88" i="3"/>
  <c r="Z88" i="3" s="1"/>
  <c r="W88" i="3"/>
  <c r="R88" i="3"/>
  <c r="AE87" i="3"/>
  <c r="AA87" i="3"/>
  <c r="Y87" i="3"/>
  <c r="Z87" i="3" s="1"/>
  <c r="W87" i="3"/>
  <c r="R87" i="3"/>
  <c r="AE86" i="3"/>
  <c r="AA86" i="3"/>
  <c r="Y86" i="3"/>
  <c r="Z86" i="3" s="1"/>
  <c r="W86" i="3"/>
  <c r="R86" i="3"/>
  <c r="AE85" i="3"/>
  <c r="AA85" i="3"/>
  <c r="Y85" i="3"/>
  <c r="Z85" i="3" s="1"/>
  <c r="W85" i="3"/>
  <c r="R85" i="3"/>
  <c r="AE84" i="3"/>
  <c r="AA84" i="3"/>
  <c r="Y84" i="3"/>
  <c r="Z84" i="3" s="1"/>
  <c r="W84" i="3"/>
  <c r="R84" i="3"/>
  <c r="AE83" i="3"/>
  <c r="AA83" i="3"/>
  <c r="Y83" i="3"/>
  <c r="Z83" i="3" s="1"/>
  <c r="W83" i="3"/>
  <c r="R83" i="3"/>
  <c r="AE82" i="3"/>
  <c r="AA82" i="3"/>
  <c r="Y82" i="3"/>
  <c r="Z82" i="3" s="1"/>
  <c r="W82" i="3"/>
  <c r="R82" i="3"/>
  <c r="AE81" i="3"/>
  <c r="AA81" i="3"/>
  <c r="Y81" i="3"/>
  <c r="Z81" i="3" s="1"/>
  <c r="W81" i="3"/>
  <c r="R81" i="3"/>
  <c r="AE80" i="3"/>
  <c r="AA80" i="3"/>
  <c r="Y80" i="3"/>
  <c r="Z80" i="3" s="1"/>
  <c r="W80" i="3"/>
  <c r="R80" i="3"/>
  <c r="AE79" i="3"/>
  <c r="AA79" i="3"/>
  <c r="Y79" i="3"/>
  <c r="Z79" i="3" s="1"/>
  <c r="W79" i="3"/>
  <c r="R79" i="3"/>
  <c r="AE78" i="3"/>
  <c r="AA78" i="3"/>
  <c r="Y78" i="3"/>
  <c r="Z78" i="3" s="1"/>
  <c r="W78" i="3"/>
  <c r="R78" i="3"/>
  <c r="AE77" i="3"/>
  <c r="AA77" i="3"/>
  <c r="Y77" i="3"/>
  <c r="Z77" i="3" s="1"/>
  <c r="W77" i="3"/>
  <c r="R77" i="3"/>
  <c r="AE76" i="3"/>
  <c r="AA76" i="3"/>
  <c r="Y76" i="3"/>
  <c r="Z76" i="3" s="1"/>
  <c r="W76" i="3"/>
  <c r="R76" i="3"/>
  <c r="AE75" i="3"/>
  <c r="AA75" i="3"/>
  <c r="Z75" i="3"/>
  <c r="Y75" i="3"/>
  <c r="W75" i="3"/>
  <c r="R75" i="3"/>
  <c r="AE74" i="3"/>
  <c r="AA74" i="3"/>
  <c r="Y74" i="3"/>
  <c r="Z74" i="3" s="1"/>
  <c r="W74" i="3"/>
  <c r="R74" i="3"/>
  <c r="AE73" i="3"/>
  <c r="AA73" i="3"/>
  <c r="Y73" i="3"/>
  <c r="Z73" i="3" s="1"/>
  <c r="W73" i="3"/>
  <c r="R73" i="3"/>
  <c r="AE72" i="3"/>
  <c r="AA72" i="3"/>
  <c r="Y72" i="3"/>
  <c r="Z72" i="3" s="1"/>
  <c r="W72" i="3"/>
  <c r="R72" i="3"/>
  <c r="AE71" i="3"/>
  <c r="AA71" i="3"/>
  <c r="Y71" i="3"/>
  <c r="Z71" i="3" s="1"/>
  <c r="W71" i="3"/>
  <c r="R71" i="3"/>
  <c r="AE70" i="3"/>
  <c r="AA70" i="3"/>
  <c r="Y70" i="3"/>
  <c r="Z70" i="3" s="1"/>
  <c r="W70" i="3"/>
  <c r="R70" i="3"/>
  <c r="AE69" i="3"/>
  <c r="AA69" i="3"/>
  <c r="Y69" i="3"/>
  <c r="Z69" i="3" s="1"/>
  <c r="W69" i="3"/>
  <c r="R69" i="3"/>
  <c r="AE68" i="3"/>
  <c r="AA68" i="3"/>
  <c r="Y68" i="3"/>
  <c r="Z68" i="3" s="1"/>
  <c r="W68" i="3"/>
  <c r="R68" i="3"/>
  <c r="AE67" i="3"/>
  <c r="AA67" i="3"/>
  <c r="Y67" i="3"/>
  <c r="Z67" i="3" s="1"/>
  <c r="W67" i="3"/>
  <c r="R67" i="3"/>
  <c r="AE66" i="3"/>
  <c r="AA66" i="3"/>
  <c r="Y66" i="3"/>
  <c r="Z66" i="3" s="1"/>
  <c r="W66" i="3"/>
  <c r="R66" i="3"/>
  <c r="AE65" i="3"/>
  <c r="AA65" i="3"/>
  <c r="Y65" i="3"/>
  <c r="Z65" i="3" s="1"/>
  <c r="W65" i="3"/>
  <c r="R65" i="3"/>
  <c r="AE64" i="3"/>
  <c r="AA64" i="3"/>
  <c r="Y64" i="3"/>
  <c r="Z64" i="3" s="1"/>
  <c r="W64" i="3"/>
  <c r="R64" i="3"/>
  <c r="AE63" i="3"/>
  <c r="AA63" i="3"/>
  <c r="Y63" i="3"/>
  <c r="Z63" i="3" s="1"/>
  <c r="W63" i="3"/>
  <c r="R63" i="3"/>
  <c r="AE62" i="3"/>
  <c r="AA62" i="3"/>
  <c r="Y62" i="3"/>
  <c r="Z62" i="3" s="1"/>
  <c r="W62" i="3"/>
  <c r="R62" i="3"/>
  <c r="AE61" i="3"/>
  <c r="AA61" i="3"/>
  <c r="Y61" i="3"/>
  <c r="Z61" i="3" s="1"/>
  <c r="W61" i="3"/>
  <c r="R61" i="3"/>
  <c r="AE60" i="3"/>
  <c r="AA60" i="3"/>
  <c r="Y60" i="3"/>
  <c r="Z60" i="3" s="1"/>
  <c r="W60" i="3"/>
  <c r="R60" i="3"/>
  <c r="AE59" i="3"/>
  <c r="AA59" i="3"/>
  <c r="Y59" i="3"/>
  <c r="Z59" i="3" s="1"/>
  <c r="W59" i="3"/>
  <c r="R59" i="3"/>
  <c r="AE58" i="3"/>
  <c r="AA58" i="3"/>
  <c r="Y58" i="3"/>
  <c r="Z58" i="3" s="1"/>
  <c r="W58" i="3"/>
  <c r="R58" i="3"/>
  <c r="AE57" i="3"/>
  <c r="AA57" i="3"/>
  <c r="Y57" i="3"/>
  <c r="Z57" i="3" s="1"/>
  <c r="W57" i="3"/>
  <c r="R57" i="3"/>
  <c r="AE56" i="3"/>
  <c r="AA56" i="3"/>
  <c r="Y56" i="3"/>
  <c r="Z56" i="3" s="1"/>
  <c r="W56" i="3"/>
  <c r="R56" i="3"/>
  <c r="AE55" i="3"/>
  <c r="AA55" i="3"/>
  <c r="Y55" i="3"/>
  <c r="Z55" i="3" s="1"/>
  <c r="W55" i="3"/>
  <c r="R55" i="3"/>
  <c r="AE54" i="3"/>
  <c r="AA54" i="3"/>
  <c r="Y54" i="3"/>
  <c r="Z54" i="3" s="1"/>
  <c r="W54" i="3"/>
  <c r="R54" i="3"/>
  <c r="AE53" i="3"/>
  <c r="AA53" i="3"/>
  <c r="Y53" i="3"/>
  <c r="Z53" i="3" s="1"/>
  <c r="W53" i="3"/>
  <c r="R53" i="3"/>
  <c r="AE52" i="3"/>
  <c r="AA52" i="3"/>
  <c r="Y52" i="3"/>
  <c r="Z52" i="3" s="1"/>
  <c r="W52" i="3"/>
  <c r="R52" i="3"/>
  <c r="AE51" i="3"/>
  <c r="AA51" i="3"/>
  <c r="Y51" i="3"/>
  <c r="Z51" i="3" s="1"/>
  <c r="W51" i="3"/>
  <c r="R51" i="3"/>
  <c r="AE50" i="3"/>
  <c r="AA50" i="3"/>
  <c r="Y50" i="3"/>
  <c r="Z50" i="3" s="1"/>
  <c r="W50" i="3"/>
  <c r="R50" i="3"/>
  <c r="AE49" i="3"/>
  <c r="AA49" i="3"/>
  <c r="Y49" i="3"/>
  <c r="Z49" i="3" s="1"/>
  <c r="W49" i="3"/>
  <c r="R49" i="3"/>
  <c r="AE48" i="3"/>
  <c r="AA48" i="3"/>
  <c r="Y48" i="3"/>
  <c r="Z48" i="3" s="1"/>
  <c r="W48" i="3"/>
  <c r="R48" i="3"/>
  <c r="AE47" i="3"/>
  <c r="AA47" i="3"/>
  <c r="Y47" i="3"/>
  <c r="Z47" i="3" s="1"/>
  <c r="W47" i="3"/>
  <c r="R47" i="3"/>
  <c r="AE46" i="3"/>
  <c r="AA46" i="3"/>
  <c r="Y46" i="3"/>
  <c r="Z46" i="3" s="1"/>
  <c r="W46" i="3"/>
  <c r="R46" i="3"/>
  <c r="AE45" i="3"/>
  <c r="AA45" i="3"/>
  <c r="Y45" i="3"/>
  <c r="Z45" i="3" s="1"/>
  <c r="W45" i="3"/>
  <c r="R45" i="3"/>
  <c r="AE44" i="3"/>
  <c r="AA44" i="3"/>
  <c r="Y44" i="3"/>
  <c r="Z44" i="3" s="1"/>
  <c r="W44" i="3"/>
  <c r="R44" i="3"/>
  <c r="AE43" i="3"/>
  <c r="AA43" i="3"/>
  <c r="Y43" i="3"/>
  <c r="Z43" i="3" s="1"/>
  <c r="W43" i="3"/>
  <c r="R43" i="3"/>
  <c r="AE42" i="3"/>
  <c r="AA42" i="3"/>
  <c r="Y42" i="3"/>
  <c r="Z42" i="3" s="1"/>
  <c r="W42" i="3"/>
  <c r="R42" i="3"/>
  <c r="AE41" i="3"/>
  <c r="AA41" i="3"/>
  <c r="Y41" i="3"/>
  <c r="Z41" i="3" s="1"/>
  <c r="W41" i="3"/>
  <c r="R41" i="3"/>
  <c r="AE40" i="3"/>
  <c r="AA40" i="3"/>
  <c r="Z40" i="3"/>
  <c r="Y40" i="3"/>
  <c r="W40" i="3"/>
  <c r="R40" i="3"/>
  <c r="AE39" i="3"/>
  <c r="AA39" i="3"/>
  <c r="Y39" i="3"/>
  <c r="Z39" i="3" s="1"/>
  <c r="W39" i="3"/>
  <c r="R39" i="3"/>
  <c r="AE38" i="3"/>
  <c r="AA38" i="3"/>
  <c r="Y38" i="3"/>
  <c r="Z38" i="3" s="1"/>
  <c r="W38" i="3"/>
  <c r="R38" i="3"/>
  <c r="AE37" i="3"/>
  <c r="AA37" i="3"/>
  <c r="Y37" i="3"/>
  <c r="Z37" i="3" s="1"/>
  <c r="W37" i="3"/>
  <c r="R37" i="3"/>
  <c r="AE36" i="3"/>
  <c r="AA36" i="3"/>
  <c r="Y36" i="3"/>
  <c r="Z36" i="3" s="1"/>
  <c r="W36" i="3"/>
  <c r="R36" i="3"/>
  <c r="AE35" i="3"/>
  <c r="AA35" i="3"/>
  <c r="Z35" i="3"/>
  <c r="Y35" i="3"/>
  <c r="W35" i="3"/>
  <c r="R35" i="3"/>
  <c r="AE34" i="3"/>
  <c r="AA34" i="3"/>
  <c r="Y34" i="3"/>
  <c r="Z34" i="3" s="1"/>
  <c r="W34" i="3"/>
  <c r="R34" i="3"/>
  <c r="AE33" i="3"/>
  <c r="AA33" i="3"/>
  <c r="Y33" i="3"/>
  <c r="Z33" i="3" s="1"/>
  <c r="W33" i="3"/>
  <c r="R33" i="3"/>
  <c r="AE32" i="3"/>
  <c r="AA32" i="3"/>
  <c r="Y32" i="3"/>
  <c r="Z32" i="3" s="1"/>
  <c r="W32" i="3"/>
  <c r="R32" i="3"/>
  <c r="AE31" i="3"/>
  <c r="AA31" i="3"/>
  <c r="Y31" i="3"/>
  <c r="Z31" i="3" s="1"/>
  <c r="W31" i="3"/>
  <c r="R31" i="3"/>
  <c r="AE30" i="3"/>
  <c r="AA30" i="3"/>
  <c r="Y30" i="3"/>
  <c r="Z30" i="3" s="1"/>
  <c r="W30" i="3"/>
  <c r="R30" i="3"/>
  <c r="AE29" i="3"/>
  <c r="AA29" i="3"/>
  <c r="Y29" i="3"/>
  <c r="Z29" i="3" s="1"/>
  <c r="W29" i="3"/>
  <c r="R29" i="3"/>
  <c r="AE28" i="3"/>
  <c r="AA28" i="3"/>
  <c r="Z28" i="3"/>
  <c r="Y28" i="3"/>
  <c r="W28" i="3"/>
  <c r="R28" i="3"/>
  <c r="AE27" i="3"/>
  <c r="AA27" i="3"/>
  <c r="Z27" i="3"/>
  <c r="Y27" i="3"/>
  <c r="W27" i="3"/>
  <c r="R27" i="3"/>
  <c r="AE26" i="3"/>
  <c r="AA26" i="3"/>
  <c r="Y26" i="3"/>
  <c r="Z26" i="3" s="1"/>
  <c r="W26" i="3"/>
  <c r="R26" i="3"/>
  <c r="AE25" i="3"/>
  <c r="AA25" i="3"/>
  <c r="Y25" i="3"/>
  <c r="Z25" i="3" s="1"/>
  <c r="W25" i="3"/>
  <c r="R25" i="3"/>
  <c r="AE24" i="3"/>
  <c r="AA24" i="3"/>
  <c r="Y24" i="3"/>
  <c r="Z24" i="3" s="1"/>
  <c r="W24" i="3"/>
  <c r="R24" i="3"/>
  <c r="AE23" i="3"/>
  <c r="AA23" i="3"/>
  <c r="Y23" i="3"/>
  <c r="Z23" i="3" s="1"/>
  <c r="W23" i="3"/>
  <c r="R23" i="3"/>
  <c r="AE22" i="3"/>
  <c r="AA22" i="3"/>
  <c r="Z22" i="3"/>
  <c r="Y22" i="3"/>
  <c r="W22" i="3"/>
  <c r="R22" i="3"/>
  <c r="AE21" i="3"/>
  <c r="AA21" i="3"/>
  <c r="Y21" i="3"/>
  <c r="Z21" i="3" s="1"/>
  <c r="W21" i="3"/>
  <c r="R21" i="3"/>
  <c r="AE20" i="3"/>
  <c r="AA20" i="3"/>
  <c r="Z20" i="3"/>
  <c r="Y20" i="3"/>
  <c r="W20" i="3"/>
  <c r="R20" i="3"/>
  <c r="AE19" i="3"/>
  <c r="AA19" i="3"/>
  <c r="Y19" i="3"/>
  <c r="Z19" i="3" s="1"/>
  <c r="W19" i="3"/>
  <c r="R19" i="3"/>
  <c r="AE18" i="3"/>
  <c r="AA18" i="3"/>
  <c r="Y18" i="3"/>
  <c r="Z18" i="3" s="1"/>
  <c r="W18" i="3"/>
  <c r="R18" i="3"/>
  <c r="AE17" i="3"/>
  <c r="AA17" i="3"/>
  <c r="Y17" i="3"/>
  <c r="Z17" i="3" s="1"/>
  <c r="W17" i="3"/>
  <c r="R17" i="3"/>
  <c r="AE16" i="3"/>
  <c r="AA16" i="3"/>
  <c r="Y16" i="3"/>
  <c r="Z16" i="3" s="1"/>
  <c r="W16" i="3"/>
  <c r="R16" i="3"/>
  <c r="AE15" i="3"/>
  <c r="AA15" i="3"/>
  <c r="Y15" i="3"/>
  <c r="Z15" i="3" s="1"/>
  <c r="W15" i="3"/>
  <c r="R15" i="3"/>
  <c r="AE14" i="3"/>
  <c r="AA14" i="3"/>
  <c r="Y14" i="3"/>
  <c r="Z14" i="3" s="1"/>
  <c r="W14" i="3"/>
  <c r="R14" i="3"/>
  <c r="AE13" i="3"/>
  <c r="AA13" i="3"/>
  <c r="Y13" i="3"/>
  <c r="Z13" i="3" s="1"/>
  <c r="W13" i="3"/>
  <c r="R13" i="3"/>
  <c r="AE12" i="3"/>
  <c r="AA12" i="3"/>
  <c r="Y12" i="3"/>
  <c r="Z12" i="3" s="1"/>
  <c r="W12" i="3"/>
  <c r="R12" i="3"/>
  <c r="AE11" i="3"/>
  <c r="AA11" i="3"/>
  <c r="Y11" i="3"/>
  <c r="Z11" i="3" s="1"/>
  <c r="W11" i="3"/>
  <c r="R11" i="3"/>
  <c r="AE10" i="3"/>
  <c r="AA10" i="3"/>
  <c r="Y10" i="3"/>
  <c r="Z10" i="3" s="1"/>
  <c r="W10" i="3"/>
  <c r="R10" i="3"/>
  <c r="AE9" i="3"/>
  <c r="AA9" i="3"/>
  <c r="Y9" i="3"/>
  <c r="Z9" i="3" s="1"/>
  <c r="W9" i="3"/>
  <c r="R9" i="3"/>
  <c r="AE8" i="3"/>
  <c r="AA8" i="3"/>
  <c r="Z8" i="3"/>
  <c r="Y8" i="3"/>
  <c r="W8" i="3"/>
  <c r="R8" i="3"/>
  <c r="AE7" i="3"/>
  <c r="AA7" i="3"/>
  <c r="Y7" i="3"/>
  <c r="Z7" i="3" s="1"/>
  <c r="W7" i="3"/>
  <c r="R7" i="3"/>
  <c r="AE6" i="3"/>
  <c r="Y6" i="3"/>
  <c r="R6" i="3"/>
  <c r="AE5" i="3"/>
  <c r="Y5" i="3"/>
  <c r="R5" i="3"/>
  <c r="AE4" i="3"/>
  <c r="Y4" i="3"/>
  <c r="R4" i="3"/>
  <c r="Y3" i="3"/>
  <c r="Y2" i="3"/>
  <c r="W215" i="3" l="1"/>
  <c r="R215" i="3" s="1"/>
  <c r="AE217" i="3" a="1"/>
  <c r="AE217" i="3" s="1"/>
  <c r="B218" i="3" s="1"/>
  <c r="C218" i="3" s="1"/>
  <c r="D219" i="3"/>
  <c r="C219" i="3"/>
  <c r="B219" i="3" s="1"/>
  <c r="B217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<sst xmlns="http://schemas.openxmlformats.org/spreadsheetml/2006/main" count="7419" uniqueCount="1117">
  <si>
    <t>Dienst-</t>
  </si>
  <si>
    <t>Linie</t>
  </si>
  <si>
    <t>Nr.</t>
  </si>
  <si>
    <t>Umlauf</t>
  </si>
  <si>
    <t>vorher.</t>
  </si>
  <si>
    <t>Dienst</t>
  </si>
  <si>
    <t>nächst.</t>
  </si>
  <si>
    <t>beginn</t>
  </si>
  <si>
    <t>ende</t>
  </si>
  <si>
    <t>&lt;kopf&gt;</t>
  </si>
  <si>
    <t>&lt;/kopf&gt;</t>
  </si>
  <si>
    <t>MICROBUS - Dienstdatei</t>
  </si>
  <si>
    <t>Ausf.</t>
  </si>
  <si>
    <t>/Abl.</t>
  </si>
  <si>
    <t>Ort</t>
  </si>
  <si>
    <t>Richtg.</t>
  </si>
  <si>
    <t>Einf.</t>
  </si>
  <si>
    <t>Zeit</t>
  </si>
  <si>
    <t>Jenaer Nahverkehrs-GmbH</t>
  </si>
  <si>
    <t>Blatt</t>
  </si>
  <si>
    <t>&lt;?Excel optional?&gt;</t>
  </si>
  <si>
    <t>bez.</t>
  </si>
  <si>
    <t>Ausdruck vom 01.07.2026</t>
  </si>
  <si>
    <t>2201</t>
  </si>
  <si>
    <t>Reserve</t>
  </si>
  <si>
    <t>03:15</t>
  </si>
  <si>
    <t>BBU</t>
  </si>
  <si>
    <t>12:15</t>
  </si>
  <si>
    <t>09:00</t>
  </si>
  <si>
    <t>2202</t>
  </si>
  <si>
    <t>13:15</t>
  </si>
  <si>
    <t>22:15</t>
  </si>
  <si>
    <t>2211</t>
  </si>
  <si>
    <t>10</t>
  </si>
  <si>
    <t>12/1</t>
  </si>
  <si>
    <t>03:46</t>
  </si>
  <si>
    <t>BUP</t>
  </si>
  <si>
    <t>07:56</t>
  </si>
  <si>
    <t>TGR</t>
  </si>
  <si>
    <t>2229</t>
  </si>
  <si>
    <t>03:36</t>
  </si>
  <si>
    <t>16</t>
  </si>
  <si>
    <t>16/1</t>
  </si>
  <si>
    <t>08:38</t>
  </si>
  <si>
    <t>HLZ</t>
  </si>
  <si>
    <t>MTL</t>
  </si>
  <si>
    <t>12:03</t>
  </si>
  <si>
    <t>LGR</t>
  </si>
  <si>
    <t>2217</t>
  </si>
  <si>
    <t>2273</t>
  </si>
  <si>
    <t>12:08</t>
  </si>
  <si>
    <t>08:02</t>
  </si>
  <si>
    <t>2212</t>
  </si>
  <si>
    <t>48</t>
  </si>
  <si>
    <t>14/2</t>
  </si>
  <si>
    <t>03:59</t>
  </si>
  <si>
    <t>07:33</t>
  </si>
  <si>
    <t>2249</t>
  </si>
  <si>
    <t>03:49</t>
  </si>
  <si>
    <t>16/4</t>
  </si>
  <si>
    <t>08:18</t>
  </si>
  <si>
    <t>12:43</t>
  </si>
  <si>
    <t>2215</t>
  </si>
  <si>
    <t>2279</t>
  </si>
  <si>
    <t>12:48</t>
  </si>
  <si>
    <t>08:29</t>
  </si>
  <si>
    <t>2213</t>
  </si>
  <si>
    <t>12/2</t>
  </si>
  <si>
    <t>04:04</t>
  </si>
  <si>
    <t>LOW</t>
  </si>
  <si>
    <t>07:45</t>
  </si>
  <si>
    <t>2250</t>
  </si>
  <si>
    <t>03:54</t>
  </si>
  <si>
    <t>12/4</t>
  </si>
  <si>
    <t>08:25</t>
  </si>
  <si>
    <t>10:55</t>
  </si>
  <si>
    <t>2219</t>
  </si>
  <si>
    <t>2241</t>
  </si>
  <si>
    <t>11:00</t>
  </si>
  <si>
    <t>06:36</t>
  </si>
  <si>
    <t>2214</t>
  </si>
  <si>
    <t>14</t>
  </si>
  <si>
    <t>14/1</t>
  </si>
  <si>
    <t>04:05</t>
  </si>
  <si>
    <t>07:28</t>
  </si>
  <si>
    <t>2248</t>
  </si>
  <si>
    <t>03:55</t>
  </si>
  <si>
    <t>15</t>
  </si>
  <si>
    <t>15/2</t>
  </si>
  <si>
    <t>08:08</t>
  </si>
  <si>
    <t>WBF</t>
  </si>
  <si>
    <t>11:08</t>
  </si>
  <si>
    <t>2218</t>
  </si>
  <si>
    <t>2230</t>
  </si>
  <si>
    <t>11:13</t>
  </si>
  <si>
    <t>06:48</t>
  </si>
  <si>
    <t>16/3</t>
  </si>
  <si>
    <t>08:58</t>
  </si>
  <si>
    <t>ISG</t>
  </si>
  <si>
    <t>12:23</t>
  </si>
  <si>
    <t>2223</t>
  </si>
  <si>
    <t>2277</t>
  </si>
  <si>
    <t>12:28</t>
  </si>
  <si>
    <t>08:03</t>
  </si>
  <si>
    <t>2216</t>
  </si>
  <si>
    <t>E</t>
  </si>
  <si>
    <t>E/1</t>
  </si>
  <si>
    <t>04:22</t>
  </si>
  <si>
    <t>BBF</t>
  </si>
  <si>
    <t>08:19</t>
  </si>
  <si>
    <t>2244</t>
  </si>
  <si>
    <t>04:12</t>
  </si>
  <si>
    <t>12/6</t>
  </si>
  <si>
    <t>09:05</t>
  </si>
  <si>
    <t>12:41</t>
  </si>
  <si>
    <t>2224</t>
  </si>
  <si>
    <t>12:46</t>
  </si>
  <si>
    <t>08:04</t>
  </si>
  <si>
    <t>04:25</t>
  </si>
  <si>
    <t>ZTL</t>
  </si>
  <si>
    <t>04:15</t>
  </si>
  <si>
    <t>16/2</t>
  </si>
  <si>
    <t>09:23</t>
  </si>
  <si>
    <t>11:23</t>
  </si>
  <si>
    <t>2227</t>
  </si>
  <si>
    <t>2271</t>
  </si>
  <si>
    <t>11:28</t>
  </si>
  <si>
    <t>06:43</t>
  </si>
  <si>
    <t>04:29</t>
  </si>
  <si>
    <t>04:19</t>
  </si>
  <si>
    <t>15/3</t>
  </si>
  <si>
    <t>08:53</t>
  </si>
  <si>
    <t>RTL</t>
  </si>
  <si>
    <t>12:53</t>
  </si>
  <si>
    <t>2220</t>
  </si>
  <si>
    <t>2281</t>
  </si>
  <si>
    <t>12:58</t>
  </si>
  <si>
    <t>08:09</t>
  </si>
  <si>
    <t>12</t>
  </si>
  <si>
    <t>04:31</t>
  </si>
  <si>
    <t>GOE</t>
  </si>
  <si>
    <t>04:21</t>
  </si>
  <si>
    <t>17</t>
  </si>
  <si>
    <t>17/1</t>
  </si>
  <si>
    <t>09:18</t>
  </si>
  <si>
    <t>12:18</t>
  </si>
  <si>
    <t>2225</t>
  </si>
  <si>
    <t>2275</t>
  </si>
  <si>
    <t>07:32</t>
  </si>
  <si>
    <t>04:50</t>
  </si>
  <si>
    <t>04:40</t>
  </si>
  <si>
    <t>14/3</t>
  </si>
  <si>
    <t>09:43</t>
  </si>
  <si>
    <t>SCH</t>
  </si>
  <si>
    <t>2231</t>
  </si>
  <si>
    <t>2274</t>
  </si>
  <si>
    <t>12:13</t>
  </si>
  <si>
    <t>07:03</t>
  </si>
  <si>
    <t>2221</t>
  </si>
  <si>
    <t>18</t>
  </si>
  <si>
    <t>18/1</t>
  </si>
  <si>
    <t>05:02</t>
  </si>
  <si>
    <t>WIN</t>
  </si>
  <si>
    <t>12:52</t>
  </si>
  <si>
    <t>2278</t>
  </si>
  <si>
    <t>04:52</t>
  </si>
  <si>
    <t>12:57</t>
  </si>
  <si>
    <t>08:05</t>
  </si>
  <si>
    <t>2222</t>
  </si>
  <si>
    <t>12/5</t>
  </si>
  <si>
    <t>04:51</t>
  </si>
  <si>
    <t>08:45</t>
  </si>
  <si>
    <t>2245</t>
  </si>
  <si>
    <t>04:41</t>
  </si>
  <si>
    <t>11/1</t>
  </si>
  <si>
    <t>09:35</t>
  </si>
  <si>
    <t>13:28</t>
  </si>
  <si>
    <t>2226</t>
  </si>
  <si>
    <t>2283</t>
  </si>
  <si>
    <t>13:33</t>
  </si>
  <si>
    <t>08:22</t>
  </si>
  <si>
    <t>05:07</t>
  </si>
  <si>
    <t>VZH</t>
  </si>
  <si>
    <t>04:57</t>
  </si>
  <si>
    <t>09:56</t>
  </si>
  <si>
    <t>11:55</t>
  </si>
  <si>
    <t>2272</t>
  </si>
  <si>
    <t>12:00</t>
  </si>
  <si>
    <t>06:33</t>
  </si>
  <si>
    <t>05:11</t>
  </si>
  <si>
    <t>05:01</t>
  </si>
  <si>
    <t>09:45</t>
  </si>
  <si>
    <t>13:46</t>
  </si>
  <si>
    <t>2285</t>
  </si>
  <si>
    <t>13:51</t>
  </si>
  <si>
    <t>08:20</t>
  </si>
  <si>
    <t>05:18</t>
  </si>
  <si>
    <t>05:08</t>
  </si>
  <si>
    <t>12/3</t>
  </si>
  <si>
    <t>10:05</t>
  </si>
  <si>
    <t>13:41</t>
  </si>
  <si>
    <t>2228</t>
  </si>
  <si>
    <t>2284</t>
  </si>
  <si>
    <t>05:42</t>
  </si>
  <si>
    <t>05:32</t>
  </si>
  <si>
    <t>10:19</t>
  </si>
  <si>
    <t>12:49</t>
  </si>
  <si>
    <t>2280</t>
  </si>
  <si>
    <t>12:54</t>
  </si>
  <si>
    <t>06:52</t>
  </si>
  <si>
    <t>06:05</t>
  </si>
  <si>
    <t>05:55</t>
  </si>
  <si>
    <t>15/1</t>
  </si>
  <si>
    <t>10:13</t>
  </si>
  <si>
    <t>14:13</t>
  </si>
  <si>
    <t>2243</t>
  </si>
  <si>
    <t>2287</t>
  </si>
  <si>
    <t>14:18</t>
  </si>
  <si>
    <t>07:53</t>
  </si>
  <si>
    <t>06:09</t>
  </si>
  <si>
    <t>05:59</t>
  </si>
  <si>
    <t>10:46</t>
  </si>
  <si>
    <t>14:46</t>
  </si>
  <si>
    <t>2289</t>
  </si>
  <si>
    <t>14:51</t>
  </si>
  <si>
    <t>43/1</t>
  </si>
  <si>
    <t>06:10</t>
  </si>
  <si>
    <t>07:15</t>
  </si>
  <si>
    <t>06:00</t>
  </si>
  <si>
    <t>11:03</t>
  </si>
  <si>
    <t>13:03</t>
  </si>
  <si>
    <t>13:08</t>
  </si>
  <si>
    <t>06:38</t>
  </si>
  <si>
    <t>11</t>
  </si>
  <si>
    <t>11/2</t>
  </si>
  <si>
    <t>06:17</t>
  </si>
  <si>
    <t>10:28</t>
  </si>
  <si>
    <t>06:07</t>
  </si>
  <si>
    <t>2282</t>
  </si>
  <si>
    <t>13:13</t>
  </si>
  <si>
    <t>06:22</t>
  </si>
  <si>
    <t>LTL</t>
  </si>
  <si>
    <t>06:12</t>
  </si>
  <si>
    <t>13:48</t>
  </si>
  <si>
    <t>2286</t>
  </si>
  <si>
    <t>13:53</t>
  </si>
  <si>
    <t>07:11</t>
  </si>
  <si>
    <t>14/4</t>
  </si>
  <si>
    <t>05:03</t>
  </si>
  <si>
    <t>08:12</t>
  </si>
  <si>
    <t>04:53</t>
  </si>
  <si>
    <t>(03:29)</t>
  </si>
  <si>
    <t>14:26</t>
  </si>
  <si>
    <t>2288</t>
  </si>
  <si>
    <t>10:50</t>
  </si>
  <si>
    <t>14:31</t>
  </si>
  <si>
    <t>(03:41)</t>
  </si>
  <si>
    <t>07:10</t>
  </si>
  <si>
    <t>2242</t>
  </si>
  <si>
    <t>11/3</t>
  </si>
  <si>
    <t>AMM</t>
  </si>
  <si>
    <t>10:02</t>
  </si>
  <si>
    <t>10:12</t>
  </si>
  <si>
    <t>(05:15)</t>
  </si>
  <si>
    <t>11/5</t>
  </si>
  <si>
    <t>15:02</t>
  </si>
  <si>
    <t>16:51</t>
  </si>
  <si>
    <t>14:52</t>
  </si>
  <si>
    <t>16:56</t>
  </si>
  <si>
    <t>(02:04)</t>
  </si>
  <si>
    <t>07:19</t>
  </si>
  <si>
    <t>05:10</t>
  </si>
  <si>
    <t>05:00</t>
  </si>
  <si>
    <t>10:18</t>
  </si>
  <si>
    <t>(05:18)</t>
  </si>
  <si>
    <t>14:49</t>
  </si>
  <si>
    <t>16:49</t>
  </si>
  <si>
    <t>2294</t>
  </si>
  <si>
    <t>14:44</t>
  </si>
  <si>
    <t>16:54</t>
  </si>
  <si>
    <t>(02:10)</t>
  </si>
  <si>
    <t>16/5</t>
  </si>
  <si>
    <t>06:35</t>
  </si>
  <si>
    <t>07:46</t>
  </si>
  <si>
    <t>06:25</t>
  </si>
  <si>
    <t>10:24</t>
  </si>
  <si>
    <t>(03:59)</t>
  </si>
  <si>
    <t>15:06</t>
  </si>
  <si>
    <t>12:36</t>
  </si>
  <si>
    <t>15:11</t>
  </si>
  <si>
    <t>(02:35)</t>
  </si>
  <si>
    <t>06:34</t>
  </si>
  <si>
    <t>43/2</t>
  </si>
  <si>
    <t>06:40</t>
  </si>
  <si>
    <t>07:49</t>
  </si>
  <si>
    <t>06:30</t>
  </si>
  <si>
    <t>10:51</t>
  </si>
  <si>
    <t>(04:21)</t>
  </si>
  <si>
    <t>17:05</t>
  </si>
  <si>
    <t>15:01</t>
  </si>
  <si>
    <t>17:10</t>
  </si>
  <si>
    <t>(02:09)</t>
  </si>
  <si>
    <t>07:23</t>
  </si>
  <si>
    <t>(03:45)</t>
  </si>
  <si>
    <t>15:43</t>
  </si>
  <si>
    <t>18:43</t>
  </si>
  <si>
    <t>15:38</t>
  </si>
  <si>
    <t>18:48</t>
  </si>
  <si>
    <t>(03:10)</t>
  </si>
  <si>
    <t>06:55</t>
  </si>
  <si>
    <t>2276</t>
  </si>
  <si>
    <t>(05:00)</t>
  </si>
  <si>
    <t>47</t>
  </si>
  <si>
    <t>47/1</t>
  </si>
  <si>
    <t>16:13</t>
  </si>
  <si>
    <t>LOO</t>
  </si>
  <si>
    <t>18:32</t>
  </si>
  <si>
    <t>16:03</t>
  </si>
  <si>
    <t>18:52</t>
  </si>
  <si>
    <t>(02:49)</t>
  </si>
  <si>
    <t>07:40</t>
  </si>
  <si>
    <t>09:50</t>
  </si>
  <si>
    <t>16:28</t>
  </si>
  <si>
    <t>16:53</t>
  </si>
  <si>
    <t>18:53</t>
  </si>
  <si>
    <t>18:58</t>
  </si>
  <si>
    <t>(06:00)</t>
  </si>
  <si>
    <t>08:10</t>
  </si>
  <si>
    <t>2256</t>
  </si>
  <si>
    <t>Dienstschulung</t>
  </si>
  <si>
    <t>08:00</t>
  </si>
  <si>
    <t>(04:00)</t>
  </si>
  <si>
    <t>14:59</t>
  </si>
  <si>
    <t>17:51</t>
  </si>
  <si>
    <t>17:56</t>
  </si>
  <si>
    <t>(03:07)</t>
  </si>
  <si>
    <t>07:07</t>
  </si>
  <si>
    <t>2257</t>
  </si>
  <si>
    <t>15:23</t>
  </si>
  <si>
    <t>17:58</t>
  </si>
  <si>
    <t>15:18</t>
  </si>
  <si>
    <t>18:03</t>
  </si>
  <si>
    <t>(02:45)</t>
  </si>
  <si>
    <t>06:45</t>
  </si>
  <si>
    <t>2258</t>
  </si>
  <si>
    <t>11/4</t>
  </si>
  <si>
    <t>10:22</t>
  </si>
  <si>
    <t>10:32</t>
  </si>
  <si>
    <t>(04:20)</t>
  </si>
  <si>
    <t>12:30</t>
  </si>
  <si>
    <t>16:30</t>
  </si>
  <si>
    <t>2259</t>
  </si>
  <si>
    <t>06:27</t>
  </si>
  <si>
    <t>10:21</t>
  </si>
  <si>
    <t>10:31</t>
  </si>
  <si>
    <t>(04:14)</t>
  </si>
  <si>
    <t>08:14</t>
  </si>
  <si>
    <t>11:18</t>
  </si>
  <si>
    <t>16:31</t>
  </si>
  <si>
    <t>18:42</t>
  </si>
  <si>
    <t>19:02</t>
  </si>
  <si>
    <t>07:14</t>
  </si>
  <si>
    <t>15:25</t>
  </si>
  <si>
    <t>2290</t>
  </si>
  <si>
    <t>11:50</t>
  </si>
  <si>
    <t>16:18</t>
  </si>
  <si>
    <t>20:26</t>
  </si>
  <si>
    <t>20:46</t>
  </si>
  <si>
    <t>08:26</t>
  </si>
  <si>
    <t>2292</t>
  </si>
  <si>
    <t>11:58</t>
  </si>
  <si>
    <t>19:22</t>
  </si>
  <si>
    <t>06:54</t>
  </si>
  <si>
    <t>16:23</t>
  </si>
  <si>
    <t>20:42</t>
  </si>
  <si>
    <t>21:02</t>
  </si>
  <si>
    <t>21:07</t>
  </si>
  <si>
    <t>21:12</t>
  </si>
  <si>
    <t>15:48</t>
  </si>
  <si>
    <t>2291</t>
  </si>
  <si>
    <t>20:57</t>
  </si>
  <si>
    <t>21:17</t>
  </si>
  <si>
    <t>17:11</t>
  </si>
  <si>
    <t>20:58</t>
  </si>
  <si>
    <t>21:18</t>
  </si>
  <si>
    <t>08:30</t>
  </si>
  <si>
    <t>12:47</t>
  </si>
  <si>
    <t>16:43</t>
  </si>
  <si>
    <t>2293</t>
  </si>
  <si>
    <t>12:38</t>
  </si>
  <si>
    <t>17:31</t>
  </si>
  <si>
    <t>21:38</t>
  </si>
  <si>
    <t>12:44</t>
  </si>
  <si>
    <t>15:19</t>
  </si>
  <si>
    <t>17:21</t>
  </si>
  <si>
    <t>20:53</t>
  </si>
  <si>
    <t>21:13</t>
  </si>
  <si>
    <t>07:59</t>
  </si>
  <si>
    <t>17:41</t>
  </si>
  <si>
    <t>21:33</t>
  </si>
  <si>
    <t>08:15</t>
  </si>
  <si>
    <t>17:08</t>
  </si>
  <si>
    <t>2295</t>
  </si>
  <si>
    <t>18:56</t>
  </si>
  <si>
    <t>19:26</t>
  </si>
  <si>
    <t>21:11</t>
  </si>
  <si>
    <t>21:31</t>
  </si>
  <si>
    <t>07:58</t>
  </si>
  <si>
    <t>13:23</t>
  </si>
  <si>
    <t>07:25</t>
  </si>
  <si>
    <t>13:36</t>
  </si>
  <si>
    <t>18:21</t>
  </si>
  <si>
    <t>21:41</t>
  </si>
  <si>
    <t>22:01</t>
  </si>
  <si>
    <t>07:55</t>
  </si>
  <si>
    <t>18:01</t>
  </si>
  <si>
    <t>21:53</t>
  </si>
  <si>
    <t>07:42</t>
  </si>
  <si>
    <t>13:43</t>
  </si>
  <si>
    <t>18:13</t>
  </si>
  <si>
    <t>21:03</t>
  </si>
  <si>
    <t>21:23</t>
  </si>
  <si>
    <t>14:08</t>
  </si>
  <si>
    <t>14:21</t>
  </si>
  <si>
    <t>22:12</t>
  </si>
  <si>
    <t>22:17</t>
  </si>
  <si>
    <t>07:26</t>
  </si>
  <si>
    <t>14:41</t>
  </si>
  <si>
    <t>19:23</t>
  </si>
  <si>
    <t>21:37</t>
  </si>
  <si>
    <t>21:57</t>
  </si>
  <si>
    <t>06:46</t>
  </si>
  <si>
    <t>15:20</t>
  </si>
  <si>
    <t>20:19</t>
  </si>
  <si>
    <t>23:52</t>
  </si>
  <si>
    <t>00:12</t>
  </si>
  <si>
    <t>20:03</t>
  </si>
  <si>
    <t>00:31</t>
  </si>
  <si>
    <t>00:51</t>
  </si>
  <si>
    <t>15:58</t>
  </si>
  <si>
    <t>20:43</t>
  </si>
  <si>
    <t>00:01</t>
  </si>
  <si>
    <t>00:21</t>
  </si>
  <si>
    <t>16:38</t>
  </si>
  <si>
    <t>21:25</t>
  </si>
  <si>
    <t>00:56</t>
  </si>
  <si>
    <t>01:16</t>
  </si>
  <si>
    <t>16:44</t>
  </si>
  <si>
    <t>01:23</t>
  </si>
  <si>
    <t>01:43</t>
  </si>
  <si>
    <t>17:03</t>
  </si>
  <si>
    <t>00:37</t>
  </si>
  <si>
    <t>00:57</t>
  </si>
  <si>
    <t>07:24</t>
  </si>
  <si>
    <t>2299</t>
  </si>
  <si>
    <t>10/9</t>
  </si>
  <si>
    <t>21:46</t>
  </si>
  <si>
    <t>03:14</t>
  </si>
  <si>
    <t>21:36</t>
  </si>
  <si>
    <t>Uml. 10/9</t>
  </si>
  <si>
    <t>04:44</t>
  </si>
  <si>
    <t>07:08</t>
  </si>
  <si>
    <t>469:44</t>
  </si>
  <si>
    <t>457:39</t>
  </si>
  <si>
    <t>491:44</t>
  </si>
  <si>
    <t/>
  </si>
  <si>
    <t>35:30</t>
  </si>
  <si>
    <t>950</t>
  </si>
  <si>
    <t>682</t>
  </si>
  <si>
    <t>657</t>
  </si>
  <si>
    <t>2725</t>
  </si>
  <si>
    <t>Wirkungsgrad: 84,1%%</t>
  </si>
  <si>
    <t>4671</t>
  </si>
  <si>
    <t>320:39</t>
  </si>
  <si>
    <t>1320</t>
  </si>
  <si>
    <t>34:05</t>
  </si>
  <si>
    <t>Summe</t>
  </si>
  <si>
    <t xml:space="preserve"> 7:42</t>
  </si>
  <si>
    <t xml:space="preserve"> 7:30</t>
  </si>
  <si>
    <t xml:space="preserve"> 8:03</t>
  </si>
  <si>
    <t xml:space="preserve"> 0:34</t>
  </si>
  <si>
    <t>44</t>
  </si>
  <si>
    <t>76</t>
  </si>
  <si>
    <t xml:space="preserve"> 5:15</t>
  </si>
  <si>
    <t>21</t>
  </si>
  <si>
    <t xml:space="preserve"> 0:33</t>
  </si>
  <si>
    <t>Mittel</t>
  </si>
  <si>
    <t xml:space="preserve"> 7:08</t>
  </si>
  <si>
    <t xml:space="preserve"> 6:21</t>
  </si>
  <si>
    <t xml:space="preserve"> 1:30</t>
  </si>
  <si>
    <t>5</t>
  </si>
  <si>
    <t>1</t>
  </si>
  <si>
    <t>Wirkungsgrad: 65,7%%</t>
  </si>
  <si>
    <t>132</t>
  </si>
  <si>
    <t>33</t>
  </si>
  <si>
    <t xml:space="preserve"> 3:16</t>
  </si>
  <si>
    <t xml:space="preserve"> 0:47</t>
  </si>
  <si>
    <t xml:space="preserve"> 4:44</t>
  </si>
  <si>
    <t>0</t>
  </si>
  <si>
    <t xml:space="preserve"> 3:14</t>
  </si>
  <si>
    <t xml:space="preserve"> 5:38</t>
  </si>
  <si>
    <t xml:space="preserve"> 4:51</t>
  </si>
  <si>
    <t xml:space="preserve"> 17/12/17/12/17/23/17/17</t>
  </si>
  <si>
    <t>1/6</t>
  </si>
  <si>
    <t>9</t>
  </si>
  <si>
    <t>OPT_Z</t>
  </si>
  <si>
    <t xml:space="preserve"> 7:24</t>
  </si>
  <si>
    <t xml:space="preserve"> 7:13</t>
  </si>
  <si>
    <t xml:space="preserve"> 7:54</t>
  </si>
  <si>
    <t>28</t>
  </si>
  <si>
    <t>Wirkungsgrad: 90,5%%</t>
  </si>
  <si>
    <t>45</t>
  </si>
  <si>
    <t xml:space="preserve"> 4:30</t>
  </si>
  <si>
    <t>30</t>
  </si>
  <si>
    <t xml:space="preserve"> 0:41</t>
  </si>
  <si>
    <t xml:space="preserve"> 0:57</t>
  </si>
  <si>
    <t xml:space="preserve"> 2:48</t>
  </si>
  <si>
    <t xml:space="preserve"> 11/13/11/13/11</t>
  </si>
  <si>
    <t>59</t>
  </si>
  <si>
    <t xml:space="preserve"> 1:26</t>
  </si>
  <si>
    <t xml:space="preserve"> 0:37</t>
  </si>
  <si>
    <t>3</t>
  </si>
  <si>
    <t xml:space="preserve"> 4:36</t>
  </si>
  <si>
    <t xml:space="preserve"> 4:25</t>
  </si>
  <si>
    <t xml:space="preserve"> 5:06</t>
  </si>
  <si>
    <t xml:space="preserve"> 15/15/15/15/13</t>
  </si>
  <si>
    <t>73</t>
  </si>
  <si>
    <t xml:space="preserve"> 3:04</t>
  </si>
  <si>
    <t>1x33_43</t>
  </si>
  <si>
    <t>2</t>
  </si>
  <si>
    <t xml:space="preserve"> 8:29</t>
  </si>
  <si>
    <t xml:space="preserve"> 8:15</t>
  </si>
  <si>
    <t xml:space="preserve"> 8:59</t>
  </si>
  <si>
    <t>19</t>
  </si>
  <si>
    <t>43</t>
  </si>
  <si>
    <t>Wirkungsgrad: 91,6%%</t>
  </si>
  <si>
    <t>104</t>
  </si>
  <si>
    <t>61</t>
  </si>
  <si>
    <t xml:space="preserve"> 6:02</t>
  </si>
  <si>
    <t xml:space="preserve"> 0:44</t>
  </si>
  <si>
    <t xml:space="preserve"> 1:43</t>
  </si>
  <si>
    <t xml:space="preserve"> 4:37</t>
  </si>
  <si>
    <t xml:space="preserve"> 12/17/12/17/12/17/17</t>
  </si>
  <si>
    <t xml:space="preserve"> 2:32</t>
  </si>
  <si>
    <t xml:space="preserve"> 1:23</t>
  </si>
  <si>
    <t>6</t>
  </si>
  <si>
    <t xml:space="preserve"> 3:52</t>
  </si>
  <si>
    <t xml:space="preserve"> 3:38</t>
  </si>
  <si>
    <t xml:space="preserve"> 4:22</t>
  </si>
  <si>
    <t>42</t>
  </si>
  <si>
    <t xml:space="preserve"> 3:30</t>
  </si>
  <si>
    <t xml:space="preserve"> 8:08</t>
  </si>
  <si>
    <t xml:space="preserve"> 8:02</t>
  </si>
  <si>
    <t xml:space="preserve"> 8:38</t>
  </si>
  <si>
    <t>32</t>
  </si>
  <si>
    <t>Wirkungsgrad: 92,4%%</t>
  </si>
  <si>
    <t>170</t>
  </si>
  <si>
    <t xml:space="preserve"> 4:41</t>
  </si>
  <si>
    <t xml:space="preserve"> 0:36</t>
  </si>
  <si>
    <t xml:space="preserve"> 1:16</t>
  </si>
  <si>
    <t xml:space="preserve"> 3:54</t>
  </si>
  <si>
    <t xml:space="preserve"> 17/13/17/13/17/13</t>
  </si>
  <si>
    <t>90</t>
  </si>
  <si>
    <t xml:space="preserve"> 2:01</t>
  </si>
  <si>
    <t xml:space="preserve"> 0:56</t>
  </si>
  <si>
    <t xml:space="preserve"> 4:14</t>
  </si>
  <si>
    <t xml:space="preserve"> 4:08</t>
  </si>
  <si>
    <t xml:space="preserve"> 20/20/20/20</t>
  </si>
  <si>
    <t>80</t>
  </si>
  <si>
    <t xml:space="preserve"> 2:40</t>
  </si>
  <si>
    <t>4</t>
  </si>
  <si>
    <t xml:space="preserve"> 7:53</t>
  </si>
  <si>
    <t xml:space="preserve"> 7:49</t>
  </si>
  <si>
    <t xml:space="preserve"> 8:23</t>
  </si>
  <si>
    <t>36</t>
  </si>
  <si>
    <t>Wirkungsgrad: 92,6%%</t>
  </si>
  <si>
    <t>163</t>
  </si>
  <si>
    <t>46</t>
  </si>
  <si>
    <t xml:space="preserve"> 4:35</t>
  </si>
  <si>
    <t xml:space="preserve"> 0:21</t>
  </si>
  <si>
    <t xml:space="preserve"> 3:41</t>
  </si>
  <si>
    <t>20</t>
  </si>
  <si>
    <t xml:space="preserve"> 15/12/16/12/16/12</t>
  </si>
  <si>
    <t>83</t>
  </si>
  <si>
    <t xml:space="preserve"> 1:55</t>
  </si>
  <si>
    <t xml:space="preserve"> 0:01</t>
  </si>
  <si>
    <t xml:space="preserve"> 4:12</t>
  </si>
  <si>
    <t xml:space="preserve"> 4:42</t>
  </si>
  <si>
    <t xml:space="preserve"> 8:34</t>
  </si>
  <si>
    <t xml:space="preserve"> 9:08</t>
  </si>
  <si>
    <t>39</t>
  </si>
  <si>
    <t>Wirkungsgrad: 93,2%%</t>
  </si>
  <si>
    <t>169</t>
  </si>
  <si>
    <t>53</t>
  </si>
  <si>
    <t xml:space="preserve"> 5:14</t>
  </si>
  <si>
    <t xml:space="preserve"> 0:51</t>
  </si>
  <si>
    <t>25</t>
  </si>
  <si>
    <t xml:space="preserve"> 20/17/16/12/16/12/16/12</t>
  </si>
  <si>
    <t>121</t>
  </si>
  <si>
    <t xml:space="preserve"> 2:27</t>
  </si>
  <si>
    <t xml:space="preserve"> 0:31</t>
  </si>
  <si>
    <t xml:space="preserve"> 3:47</t>
  </si>
  <si>
    <t xml:space="preserve"> 3:43</t>
  </si>
  <si>
    <t xml:space="preserve"> 4:17</t>
  </si>
  <si>
    <t xml:space="preserve"> 12/12/12/12</t>
  </si>
  <si>
    <t xml:space="preserve"> 2:47</t>
  </si>
  <si>
    <t xml:space="preserve"> 8:22</t>
  </si>
  <si>
    <t xml:space="preserve"> 8:04</t>
  </si>
  <si>
    <t xml:space="preserve"> 8:52</t>
  </si>
  <si>
    <t>85</t>
  </si>
  <si>
    <t>Wirkungsgrad: 90,4%%</t>
  </si>
  <si>
    <t>24</t>
  </si>
  <si>
    <t>72</t>
  </si>
  <si>
    <t xml:space="preserve"> 7:10</t>
  </si>
  <si>
    <t xml:space="preserve"> 0:48</t>
  </si>
  <si>
    <t xml:space="preserve"> 0:12</t>
  </si>
  <si>
    <t xml:space="preserve"> 3:55</t>
  </si>
  <si>
    <t xml:space="preserve"> 3:33</t>
  </si>
  <si>
    <t xml:space="preserve"> 4:27</t>
  </si>
  <si>
    <t xml:space="preserve"> 4:09</t>
  </si>
  <si>
    <t xml:space="preserve"> 4:57</t>
  </si>
  <si>
    <t xml:space="preserve"> 12/12</t>
  </si>
  <si>
    <t xml:space="preserve"> 3:37</t>
  </si>
  <si>
    <t xml:space="preserve"> 6:46</t>
  </si>
  <si>
    <t xml:space="preserve"> 6:20</t>
  </si>
  <si>
    <t xml:space="preserve"> 7:16</t>
  </si>
  <si>
    <t>8</t>
  </si>
  <si>
    <t>Wirkungsgrad: 86,0%%</t>
  </si>
  <si>
    <t>51</t>
  </si>
  <si>
    <t xml:space="preserve"> 5:04</t>
  </si>
  <si>
    <t xml:space="preserve"> 2:37</t>
  </si>
  <si>
    <t xml:space="preserve"> 12/11</t>
  </si>
  <si>
    <t>23</t>
  </si>
  <si>
    <t xml:space="preserve"> 1:51</t>
  </si>
  <si>
    <t xml:space="preserve"> 4:39</t>
  </si>
  <si>
    <t>37</t>
  </si>
  <si>
    <t xml:space="preserve"> 10/12</t>
  </si>
  <si>
    <t>22</t>
  </si>
  <si>
    <t xml:space="preserve"> 3:13</t>
  </si>
  <si>
    <t xml:space="preserve"> 7:26</t>
  </si>
  <si>
    <t xml:space="preserve"> 7:20</t>
  </si>
  <si>
    <t xml:space="preserve"> 7:56</t>
  </si>
  <si>
    <t>49</t>
  </si>
  <si>
    <t>Wirkungsgrad: 95,1%%</t>
  </si>
  <si>
    <t>81</t>
  </si>
  <si>
    <t>58</t>
  </si>
  <si>
    <t xml:space="preserve"> 5:43</t>
  </si>
  <si>
    <t xml:space="preserve"> 12/12/11/11/13</t>
  </si>
  <si>
    <t xml:space="preserve"> 2:30</t>
  </si>
  <si>
    <t xml:space="preserve"> 3:49</t>
  </si>
  <si>
    <t xml:space="preserve"> 4:19</t>
  </si>
  <si>
    <t xml:space="preserve"> 6:45</t>
  </si>
  <si>
    <t xml:space="preserve"> 6:41</t>
  </si>
  <si>
    <t xml:space="preserve"> 7:15</t>
  </si>
  <si>
    <t>Wirkungsgrad: 91,4%%</t>
  </si>
  <si>
    <t xml:space="preserve"> 4:40</t>
  </si>
  <si>
    <t xml:space="preserve"> 2:33</t>
  </si>
  <si>
    <t xml:space="preserve"> 15/15</t>
  </si>
  <si>
    <t xml:space="preserve"> 1:40</t>
  </si>
  <si>
    <t xml:space="preserve"> 15/15/15/15</t>
  </si>
  <si>
    <t>60</t>
  </si>
  <si>
    <t xml:space="preserve"> 3:00</t>
  </si>
  <si>
    <t xml:space="preserve"> 7:04</t>
  </si>
  <si>
    <t xml:space="preserve"> 7:40</t>
  </si>
  <si>
    <t>88</t>
  </si>
  <si>
    <t xml:space="preserve"> 5:05</t>
  </si>
  <si>
    <t xml:space="preserve"> 2:20</t>
  </si>
  <si>
    <t xml:space="preserve"> 3:57</t>
  </si>
  <si>
    <t xml:space="preserve"> 3:51</t>
  </si>
  <si>
    <t xml:space="preserve"> 12/12/11/12/11</t>
  </si>
  <si>
    <t xml:space="preserve"> 2:45</t>
  </si>
  <si>
    <t xml:space="preserve"> 7:38</t>
  </si>
  <si>
    <t xml:space="preserve"> 8:12</t>
  </si>
  <si>
    <t>64</t>
  </si>
  <si>
    <t xml:space="preserve"> 6:23</t>
  </si>
  <si>
    <t>35</t>
  </si>
  <si>
    <t xml:space="preserve"> 12/10</t>
  </si>
  <si>
    <t xml:space="preserve"> 3:10</t>
  </si>
  <si>
    <t xml:space="preserve"> 7:55</t>
  </si>
  <si>
    <t xml:space="preserve"> 7:51</t>
  </si>
  <si>
    <t xml:space="preserve"> 8:25</t>
  </si>
  <si>
    <t>50</t>
  </si>
  <si>
    <t>65</t>
  </si>
  <si>
    <t xml:space="preserve"> 6:30</t>
  </si>
  <si>
    <t xml:space="preserve"> 11/17</t>
  </si>
  <si>
    <t xml:space="preserve"> 2:52</t>
  </si>
  <si>
    <t xml:space="preserve"> 7:25</t>
  </si>
  <si>
    <t xml:space="preserve"> 7:14</t>
  </si>
  <si>
    <t>Wirkungsgrad: 90,6%%</t>
  </si>
  <si>
    <t>57</t>
  </si>
  <si>
    <t xml:space="preserve"> 5:39</t>
  </si>
  <si>
    <t xml:space="preserve"> 3:23</t>
  </si>
  <si>
    <t xml:space="preserve"> 21/20</t>
  </si>
  <si>
    <t>41</t>
  </si>
  <si>
    <t xml:space="preserve"> 2:19</t>
  </si>
  <si>
    <t xml:space="preserve"> 4:02</t>
  </si>
  <si>
    <t xml:space="preserve"> 4:32</t>
  </si>
  <si>
    <t xml:space="preserve"> 3:20</t>
  </si>
  <si>
    <t xml:space="preserve"> 7:58</t>
  </si>
  <si>
    <t xml:space="preserve"> 8:28</t>
  </si>
  <si>
    <t>34</t>
  </si>
  <si>
    <t>Wirkungsgrad: 85,8%%</t>
  </si>
  <si>
    <t>82</t>
  </si>
  <si>
    <t>55</t>
  </si>
  <si>
    <t xml:space="preserve"> 5:28</t>
  </si>
  <si>
    <t xml:space="preserve"> 2:05</t>
  </si>
  <si>
    <t xml:space="preserve"> 10</t>
  </si>
  <si>
    <t xml:space="preserve"> 1:35</t>
  </si>
  <si>
    <t xml:space="preserve"> 1:38</t>
  </si>
  <si>
    <t xml:space="preserve"> 12</t>
  </si>
  <si>
    <t xml:space="preserve"> 0:53</t>
  </si>
  <si>
    <t xml:space="preserve"> 4:15</t>
  </si>
  <si>
    <t xml:space="preserve"> 4:45</t>
  </si>
  <si>
    <t xml:space="preserve"> 8:45</t>
  </si>
  <si>
    <t>Wirkungsgrad: 91,3%%</t>
  </si>
  <si>
    <t>62</t>
  </si>
  <si>
    <t xml:space="preserve"> 6:10</t>
  </si>
  <si>
    <t xml:space="preserve"> 0:42</t>
  </si>
  <si>
    <t xml:space="preserve"> 4:20</t>
  </si>
  <si>
    <t xml:space="preserve"> 4:50</t>
  </si>
  <si>
    <t xml:space="preserve"> 7:59</t>
  </si>
  <si>
    <t xml:space="preserve"> 7:45</t>
  </si>
  <si>
    <t>70</t>
  </si>
  <si>
    <t>Wirkungsgrad: 86,4%%</t>
  </si>
  <si>
    <t xml:space="preserve"> 6:11</t>
  </si>
  <si>
    <t xml:space="preserve"> 1:34</t>
  </si>
  <si>
    <t xml:space="preserve"> 1:20</t>
  </si>
  <si>
    <t xml:space="preserve"> 2:04</t>
  </si>
  <si>
    <t xml:space="preserve"> 11</t>
  </si>
  <si>
    <t xml:space="preserve"> 1:01</t>
  </si>
  <si>
    <t xml:space="preserve"> 2:00</t>
  </si>
  <si>
    <t xml:space="preserve"> 8:30</t>
  </si>
  <si>
    <t xml:space="preserve"> 8:18</t>
  </si>
  <si>
    <t xml:space="preserve"> 9:00</t>
  </si>
  <si>
    <t>78</t>
  </si>
  <si>
    <t>116</t>
  </si>
  <si>
    <t xml:space="preserve"> 5:51</t>
  </si>
  <si>
    <t xml:space="preserve"> 4:10</t>
  </si>
  <si>
    <t xml:space="preserve"> 12/12/12</t>
  </si>
  <si>
    <t xml:space="preserve"> 3:11</t>
  </si>
  <si>
    <t xml:space="preserve"> 6:22</t>
  </si>
  <si>
    <t>Wirkungsgrad: 70,0%%</t>
  </si>
  <si>
    <t>128</t>
  </si>
  <si>
    <t xml:space="preserve"> 5:57</t>
  </si>
  <si>
    <t xml:space="preserve"> 2:08</t>
  </si>
  <si>
    <t xml:space="preserve"> 16/16/16/16/16/16/16/16</t>
  </si>
  <si>
    <t>129</t>
  </si>
  <si>
    <t xml:space="preserve"> 12/11/12/12</t>
  </si>
  <si>
    <t xml:space="preserve"> 20/21/20/21</t>
  </si>
  <si>
    <t xml:space="preserve"> 2:38</t>
  </si>
  <si>
    <t>Wirkungsgrad: 93,1%%</t>
  </si>
  <si>
    <t>84</t>
  </si>
  <si>
    <t xml:space="preserve"> 4:52</t>
  </si>
  <si>
    <t xml:space="preserve"> 4:07</t>
  </si>
  <si>
    <t xml:space="preserve"> 2:49</t>
  </si>
  <si>
    <t xml:space="preserve"> 8:26</t>
  </si>
  <si>
    <t>71</t>
  </si>
  <si>
    <t>Wirkungsgrad: 94,7%%</t>
  </si>
  <si>
    <t>86</t>
  </si>
  <si>
    <t>66</t>
  </si>
  <si>
    <t xml:space="preserve"> 6:36</t>
  </si>
  <si>
    <t xml:space="preserve"> 12/11/11</t>
  </si>
  <si>
    <t xml:space="preserve"> 3:28</t>
  </si>
  <si>
    <t xml:space="preserve"> 4:21</t>
  </si>
  <si>
    <t xml:space="preserve"> 4:18</t>
  </si>
  <si>
    <t>13</t>
  </si>
  <si>
    <t xml:space="preserve"> 13/13/13/13</t>
  </si>
  <si>
    <t>52</t>
  </si>
  <si>
    <t xml:space="preserve"> 3:08</t>
  </si>
  <si>
    <t>130</t>
  </si>
  <si>
    <t xml:space="preserve"> 5:44</t>
  </si>
  <si>
    <t xml:space="preserve"> 2:57</t>
  </si>
  <si>
    <t xml:space="preserve"> 6:54</t>
  </si>
  <si>
    <t xml:space="preserve"> 6:42</t>
  </si>
  <si>
    <t>Wirkungsgrad: 89,6%%</t>
  </si>
  <si>
    <t>103</t>
  </si>
  <si>
    <t xml:space="preserve"> 4:28</t>
  </si>
  <si>
    <t xml:space="preserve"> 2:34</t>
  </si>
  <si>
    <t xml:space="preserve"> 1:48</t>
  </si>
  <si>
    <t xml:space="preserve"> 8:19</t>
  </si>
  <si>
    <t xml:space="preserve"> 8:56</t>
  </si>
  <si>
    <t>31</t>
  </si>
  <si>
    <t>79</t>
  </si>
  <si>
    <t xml:space="preserve"> 3:45</t>
  </si>
  <si>
    <t xml:space="preserve"> 7:44</t>
  </si>
  <si>
    <t>Wirkungsgrad: 85,5%%</t>
  </si>
  <si>
    <t>105</t>
  </si>
  <si>
    <t xml:space="preserve"> 4:26</t>
  </si>
  <si>
    <t xml:space="preserve"> 1:02</t>
  </si>
  <si>
    <t xml:space="preserve"> 5:10</t>
  </si>
  <si>
    <t xml:space="preserve"> 8:14</t>
  </si>
  <si>
    <t xml:space="preserve"> 4:00</t>
  </si>
  <si>
    <t>Wirkungsgrad: 47,4%%</t>
  </si>
  <si>
    <t xml:space="preserve"> 6:17</t>
  </si>
  <si>
    <t xml:space="preserve"> 12/11/12/11</t>
  </si>
  <si>
    <t xml:space="preserve"> 6:27</t>
  </si>
  <si>
    <t>OPT_G</t>
  </si>
  <si>
    <t>2259+</t>
  </si>
  <si>
    <t xml:space="preserve"> 8:20</t>
  </si>
  <si>
    <t>Wirkungsgrad: 48,0%%</t>
  </si>
  <si>
    <t xml:space="preserve"> 3:07</t>
  </si>
  <si>
    <t xml:space="preserve"> 6:12</t>
  </si>
  <si>
    <t xml:space="preserve"> 12/11/12/18</t>
  </si>
  <si>
    <t>2258+</t>
  </si>
  <si>
    <t>10:03</t>
  </si>
  <si>
    <t>Wirkungsgrad: 38,3%%</t>
  </si>
  <si>
    <t xml:space="preserve"> 8:00</t>
  </si>
  <si>
    <t xml:space="preserve"> 20/21/20</t>
  </si>
  <si>
    <t>2257+</t>
  </si>
  <si>
    <t xml:space="preserve"> 7:07</t>
  </si>
  <si>
    <t xml:space="preserve"> 9:56</t>
  </si>
  <si>
    <t>Wirkungsgrad: 40,3%%</t>
  </si>
  <si>
    <t xml:space="preserve"> 2:18</t>
  </si>
  <si>
    <t xml:space="preserve"> 11/12/11</t>
  </si>
  <si>
    <t>2256+</t>
  </si>
  <si>
    <t xml:space="preserve"> 8:10</t>
  </si>
  <si>
    <t>Wirkungsgrad: 93,5%%</t>
  </si>
  <si>
    <t xml:space="preserve"> 6:07</t>
  </si>
  <si>
    <t xml:space="preserve"> 2:10</t>
  </si>
  <si>
    <t xml:space="preserve"> 9:45</t>
  </si>
  <si>
    <t>2250+</t>
  </si>
  <si>
    <t>11:24</t>
  </si>
  <si>
    <t>40</t>
  </si>
  <si>
    <t>Wirkungsgrad: 91,5%%</t>
  </si>
  <si>
    <t xml:space="preserve"> 7:28</t>
  </si>
  <si>
    <t xml:space="preserve"> 30</t>
  </si>
  <si>
    <t xml:space="preserve"> 1:49</t>
  </si>
  <si>
    <t xml:space="preserve"> 5:00</t>
  </si>
  <si>
    <t xml:space="preserve"> 7:33</t>
  </si>
  <si>
    <t>2249+</t>
  </si>
  <si>
    <t xml:space="preserve"> 6:55</t>
  </si>
  <si>
    <t>11:25</t>
  </si>
  <si>
    <t>26</t>
  </si>
  <si>
    <t>Wirkungsgrad: 95,2%%</t>
  </si>
  <si>
    <t xml:space="preserve"> 5:11</t>
  </si>
  <si>
    <t xml:space="preserve"> 7:23</t>
  </si>
  <si>
    <t xml:space="preserve"> 2:24</t>
  </si>
  <si>
    <t>2248+</t>
  </si>
  <si>
    <t>10:40</t>
  </si>
  <si>
    <t>Wirkungsgrad: 88,5%%</t>
  </si>
  <si>
    <t xml:space="preserve"> 4:46</t>
  </si>
  <si>
    <t xml:space="preserve"> 2:09</t>
  </si>
  <si>
    <t xml:space="preserve"> 2:06</t>
  </si>
  <si>
    <t xml:space="preserve"> 2:15</t>
  </si>
  <si>
    <t xml:space="preserve"> 1:09</t>
  </si>
  <si>
    <t xml:space="preserve"> 6:40</t>
  </si>
  <si>
    <t>2245+</t>
  </si>
  <si>
    <t xml:space="preserve"> 6:34</t>
  </si>
  <si>
    <t xml:space="preserve"> 8:46</t>
  </si>
  <si>
    <t>54</t>
  </si>
  <si>
    <t>Wirkungsgrad: 89,1%%</t>
  </si>
  <si>
    <t xml:space="preserve"> 5:26</t>
  </si>
  <si>
    <t xml:space="preserve"> 6:25</t>
  </si>
  <si>
    <t xml:space="preserve"> 2:35</t>
  </si>
  <si>
    <t xml:space="preserve"> 1:54</t>
  </si>
  <si>
    <t xml:space="preserve"> 1:11</t>
  </si>
  <si>
    <t xml:space="preserve"> 7:46</t>
  </si>
  <si>
    <t xml:space="preserve"> 6:35</t>
  </si>
  <si>
    <t>2244+</t>
  </si>
  <si>
    <t>11:54</t>
  </si>
  <si>
    <t>Wirkungsgrad: 94,4%%</t>
  </si>
  <si>
    <t xml:space="preserve"> 6:03</t>
  </si>
  <si>
    <t xml:space="preserve"> 5:18</t>
  </si>
  <si>
    <t xml:space="preserve"> 4:03</t>
  </si>
  <si>
    <t>2243+</t>
  </si>
  <si>
    <t xml:space="preserve"> 7:19</t>
  </si>
  <si>
    <t>11:59</t>
  </si>
  <si>
    <t>Wirkungsgrad: 92,0%%</t>
  </si>
  <si>
    <t xml:space="preserve"> 5:22</t>
  </si>
  <si>
    <t xml:space="preserve"> 13/12/11/12/11</t>
  </si>
  <si>
    <t xml:space="preserve"> 3:56</t>
  </si>
  <si>
    <t xml:space="preserve"> 5:07</t>
  </si>
  <si>
    <t>2242+</t>
  </si>
  <si>
    <t xml:space="preserve"> 9:38</t>
  </si>
  <si>
    <t>69</t>
  </si>
  <si>
    <t>Wirkungsgrad: 93,0%%</t>
  </si>
  <si>
    <t>63</t>
  </si>
  <si>
    <t xml:space="preserve"> 6:18</t>
  </si>
  <si>
    <t xml:space="preserve"> 4:53</t>
  </si>
  <si>
    <t xml:space="preserve"> 3:21</t>
  </si>
  <si>
    <t xml:space="preserve"> 3:29</t>
  </si>
  <si>
    <t xml:space="preserve"> 5:03</t>
  </si>
  <si>
    <t>2241+</t>
  </si>
  <si>
    <t xml:space="preserve"> 7:11</t>
  </si>
  <si>
    <t xml:space="preserve"> 7:02</t>
  </si>
  <si>
    <t xml:space="preserve"> 7:41</t>
  </si>
  <si>
    <t xml:space="preserve"> 5:41</t>
  </si>
  <si>
    <t xml:space="preserve"> 0:39</t>
  </si>
  <si>
    <t xml:space="preserve"> 2:44</t>
  </si>
  <si>
    <t xml:space="preserve"> 3:34</t>
  </si>
  <si>
    <t xml:space="preserve"> 4:13</t>
  </si>
  <si>
    <t xml:space="preserve"> 9:43</t>
  </si>
  <si>
    <t xml:space="preserve"> 6:32</t>
  </si>
  <si>
    <t xml:space="preserve"> 7:06</t>
  </si>
  <si>
    <t>Wirkungsgrad: 93,7%%</t>
  </si>
  <si>
    <t>91</t>
  </si>
  <si>
    <t xml:space="preserve"> 4:24</t>
  </si>
  <si>
    <t xml:space="preserve"> 4:58</t>
  </si>
  <si>
    <t>29</t>
  </si>
  <si>
    <t xml:space="preserve"> 11/12/11/12/15</t>
  </si>
  <si>
    <t xml:space="preserve"> 6:38</t>
  </si>
  <si>
    <t>27</t>
  </si>
  <si>
    <t>Wirkungsgrad: 76,6%%</t>
  </si>
  <si>
    <t xml:space="preserve"> 4:29</t>
  </si>
  <si>
    <t xml:space="preserve"> 6:00</t>
  </si>
  <si>
    <t xml:space="preserve"> 1:36</t>
  </si>
  <si>
    <t xml:space="preserve"> 2:03</t>
  </si>
  <si>
    <t xml:space="preserve"> 1:56</t>
  </si>
  <si>
    <t xml:space="preserve"> 1:05</t>
  </si>
  <si>
    <t>93</t>
  </si>
  <si>
    <t>Wirkungsgrad: 94,8%%</t>
  </si>
  <si>
    <t>74</t>
  </si>
  <si>
    <t xml:space="preserve"> 5:59</t>
  </si>
  <si>
    <t xml:space="preserve"> 4:06</t>
  </si>
  <si>
    <t xml:space="preserve"> 10/10</t>
  </si>
  <si>
    <t xml:space="preserve"> 3:40</t>
  </si>
  <si>
    <t xml:space="preserve"> 4:16</t>
  </si>
  <si>
    <t xml:space="preserve"> 3:44</t>
  </si>
  <si>
    <t xml:space="preserve"> 6:09</t>
  </si>
  <si>
    <t xml:space="preserve"> 7:39</t>
  </si>
  <si>
    <t>106</t>
  </si>
  <si>
    <t>56</t>
  </si>
  <si>
    <t xml:space="preserve"> 5:32</t>
  </si>
  <si>
    <t xml:space="preserve"> 5:55</t>
  </si>
  <si>
    <t xml:space="preserve"> 3:31</t>
  </si>
  <si>
    <t xml:space="preserve"> 10/10/26</t>
  </si>
  <si>
    <t xml:space="preserve"> 9:23</t>
  </si>
  <si>
    <t xml:space="preserve"> 6:05</t>
  </si>
  <si>
    <t xml:space="preserve"> 6:52</t>
  </si>
  <si>
    <t xml:space="preserve"> 6:43</t>
  </si>
  <si>
    <t xml:space="preserve"> 7:22</t>
  </si>
  <si>
    <t xml:space="preserve"> 5:37</t>
  </si>
  <si>
    <t xml:space="preserve"> 9:35</t>
  </si>
  <si>
    <t xml:space="preserve"> 5:42</t>
  </si>
  <si>
    <t xml:space="preserve"> 8:05</t>
  </si>
  <si>
    <t>Wirkungsgrad: 93,4%%</t>
  </si>
  <si>
    <t xml:space="preserve"> 5:08</t>
  </si>
  <si>
    <t xml:space="preserve"> 3:42</t>
  </si>
  <si>
    <t xml:space="preserve"> 11/10</t>
  </si>
  <si>
    <t xml:space="preserve"> 3:15</t>
  </si>
  <si>
    <t xml:space="preserve"> 4:23</t>
  </si>
  <si>
    <t xml:space="preserve"> 4:56</t>
  </si>
  <si>
    <t xml:space="preserve"> 14/13/13/13</t>
  </si>
  <si>
    <t xml:space="preserve"> 9:18</t>
  </si>
  <si>
    <t xml:space="preserve"> 8:50</t>
  </si>
  <si>
    <t>Wirkungsgrad: 95,0%%</t>
  </si>
  <si>
    <t xml:space="preserve"> 7:21</t>
  </si>
  <si>
    <t xml:space="preserve"> 5:01</t>
  </si>
  <si>
    <t xml:space="preserve"> 3:39</t>
  </si>
  <si>
    <t xml:space="preserve"> 4:43</t>
  </si>
  <si>
    <t xml:space="preserve"> 9:05</t>
  </si>
  <si>
    <t xml:space="preserve"> 6:33</t>
  </si>
  <si>
    <t xml:space="preserve"> 7:03</t>
  </si>
  <si>
    <t xml:space="preserve"> 0:52</t>
  </si>
  <si>
    <t xml:space="preserve"> 2:07</t>
  </si>
  <si>
    <t xml:space="preserve"> 4:04</t>
  </si>
  <si>
    <t xml:space="preserve"> 20/10/10/15</t>
  </si>
  <si>
    <t xml:space="preserve"> 2:56</t>
  </si>
  <si>
    <t xml:space="preserve"> 8:58</t>
  </si>
  <si>
    <t xml:space="preserve"> 8:06</t>
  </si>
  <si>
    <t xml:space="preserve"> 0:46</t>
  </si>
  <si>
    <t xml:space="preserve"> 3:59</t>
  </si>
  <si>
    <t xml:space="preserve"> 12/12/12/12/12</t>
  </si>
  <si>
    <t xml:space="preserve"> 2:53</t>
  </si>
  <si>
    <t xml:space="preserve"> 6:13</t>
  </si>
  <si>
    <t>Wirkungsgrad: 73,8%%</t>
  </si>
  <si>
    <t>112</t>
  </si>
  <si>
    <t xml:space="preserve"> 5:58</t>
  </si>
  <si>
    <t xml:space="preserve"> 1:52</t>
  </si>
  <si>
    <t xml:space="preserve"> 16/16/16/16/16/16/16</t>
  </si>
  <si>
    <t xml:space="preserve"> 5:02</t>
  </si>
  <si>
    <t xml:space="preserve"> 6:49</t>
  </si>
  <si>
    <t>Wirkungsgrad: 91,7%%</t>
  </si>
  <si>
    <t xml:space="preserve"> 5:19</t>
  </si>
  <si>
    <t xml:space="preserve"> 15/15/15</t>
  </si>
  <si>
    <t xml:space="preserve"> 3:18</t>
  </si>
  <si>
    <t xml:space="preserve"> 8:53</t>
  </si>
  <si>
    <t xml:space="preserve"> 7:32</t>
  </si>
  <si>
    <t>68</t>
  </si>
  <si>
    <t xml:space="preserve"> 13/13/13</t>
  </si>
  <si>
    <t xml:space="preserve"> 2:21</t>
  </si>
  <si>
    <t xml:space="preserve"> 4:31</t>
  </si>
  <si>
    <t xml:space="preserve"> 8:09</t>
  </si>
  <si>
    <t xml:space="preserve"> 8:39</t>
  </si>
  <si>
    <t>Wirkungsgrad: 93,9%%</t>
  </si>
  <si>
    <t>95</t>
  </si>
  <si>
    <t xml:space="preserve"> 6:04</t>
  </si>
  <si>
    <t xml:space="preserve"> 4:01</t>
  </si>
  <si>
    <t xml:space="preserve"> 10/10/15</t>
  </si>
  <si>
    <t>77</t>
  </si>
  <si>
    <t xml:space="preserve"> 20/21</t>
  </si>
  <si>
    <t xml:space="preserve"> 1:19</t>
  </si>
  <si>
    <t xml:space="preserve"> 10/16/10</t>
  </si>
  <si>
    <t xml:space="preserve"> 7:52</t>
  </si>
  <si>
    <t>Wirkungsgrad: 93,6%%</t>
  </si>
  <si>
    <t>38</t>
  </si>
  <si>
    <t xml:space="preserve"> 8:33</t>
  </si>
  <si>
    <t xml:space="preserve"> 5:30</t>
  </si>
  <si>
    <t xml:space="preserve"> 21/20/21</t>
  </si>
  <si>
    <t xml:space="preserve"> 2:23</t>
  </si>
  <si>
    <t xml:space="preserve"> 12/12/32/10</t>
  </si>
  <si>
    <t xml:space="preserve"> 4:05</t>
  </si>
  <si>
    <t xml:space="preserve"> 6:48</t>
  </si>
  <si>
    <t xml:space="preserve"> 6:44</t>
  </si>
  <si>
    <t xml:space="preserve"> 7:18</t>
  </si>
  <si>
    <t xml:space="preserve"> 3:36</t>
  </si>
  <si>
    <t xml:space="preserve"> 13/13/12</t>
  </si>
  <si>
    <t xml:space="preserve"> 5:20</t>
  </si>
  <si>
    <t xml:space="preserve"> 2:36</t>
  </si>
  <si>
    <t xml:space="preserve"> 17/12</t>
  </si>
  <si>
    <t xml:space="preserve"> 3:12</t>
  </si>
  <si>
    <t>Wirkungsgrad: 94,1%%</t>
  </si>
  <si>
    <t>122</t>
  </si>
  <si>
    <t xml:space="preserve"> 4:33</t>
  </si>
  <si>
    <t xml:space="preserve"> 3:05</t>
  </si>
  <si>
    <t xml:space="preserve"> 11/19/12</t>
  </si>
  <si>
    <t xml:space="preserve"> 8:32</t>
  </si>
  <si>
    <t>118</t>
  </si>
  <si>
    <t xml:space="preserve"> 20/20/20</t>
  </si>
  <si>
    <t xml:space="preserve"> 2:25</t>
  </si>
  <si>
    <t xml:space="preserve"> 4:59</t>
  </si>
  <si>
    <t xml:space="preserve"> 17/12/17/12</t>
  </si>
  <si>
    <t xml:space="preserve"> 3:46</t>
  </si>
  <si>
    <t>Wirkungsgrad: 0,0%%</t>
  </si>
  <si>
    <t>SU</t>
  </si>
  <si>
    <t>nicht anrech.</t>
  </si>
  <si>
    <t>anrechenbar</t>
  </si>
  <si>
    <t>bez. Zeit</t>
  </si>
  <si>
    <t>Arb.-zeit</t>
  </si>
  <si>
    <t>Dienst-zeit</t>
  </si>
  <si>
    <t>Schicht-zeit</t>
  </si>
  <si>
    <t>Res.-zeiten</t>
  </si>
  <si>
    <t>Wege-zeit</t>
  </si>
  <si>
    <t>N-zeit</t>
  </si>
  <si>
    <t>V-zeit</t>
  </si>
  <si>
    <t>H-zeit</t>
  </si>
  <si>
    <t>Wendezeit</t>
  </si>
  <si>
    <t>Soll 1/6</t>
  </si>
  <si>
    <t>Lenk-zeit</t>
  </si>
  <si>
    <t>Dauer</t>
  </si>
  <si>
    <t>Ab-zug</t>
  </si>
  <si>
    <t>Block-pause</t>
  </si>
  <si>
    <t>P.-regel</t>
  </si>
  <si>
    <t>Ende</t>
  </si>
  <si>
    <t>Beg.</t>
  </si>
  <si>
    <t>Wagen-Nr.</t>
  </si>
  <si>
    <t>Umlauf-Nr.</t>
  </si>
  <si>
    <t>Umlauf-linie</t>
  </si>
  <si>
    <t>Dienst-art</t>
  </si>
  <si>
    <t>Dienst-Nr.</t>
  </si>
  <si>
    <t>Gültig ab:</t>
  </si>
  <si>
    <t>Bus Betriebshof Burgau</t>
  </si>
  <si>
    <t>0727_BBU_MoDo</t>
  </si>
  <si>
    <t>Betriebstag:</t>
  </si>
  <si>
    <t>Dienstübersicht</t>
  </si>
  <si>
    <t>Jenaer Nahverkehr GmbH</t>
  </si>
  <si>
    <t>222:22</t>
  </si>
  <si>
    <t>2222:22</t>
  </si>
  <si>
    <t>99999</t>
  </si>
  <si>
    <t>9999</t>
  </si>
  <si>
    <t>xxxxxxxxxxxxxxxxxxxxxxxxxxxx</t>
  </si>
  <si>
    <t>xxxxx</t>
  </si>
  <si>
    <t>22:22</t>
  </si>
  <si>
    <t>xxxxxxx</t>
  </si>
  <si>
    <t>Bus-Dienste ab 27.07.2026</t>
  </si>
  <si>
    <t>04:24</t>
  </si>
  <si>
    <t>27.07.2026</t>
  </si>
  <si>
    <t>Schwellenwechsel BBU + Sperrung Jenertal</t>
  </si>
  <si>
    <t>Dienstzähler</t>
  </si>
  <si>
    <t>Belastungen und Anmerkungen</t>
  </si>
  <si>
    <t xml:space="preserve">Wegezeiten </t>
  </si>
  <si>
    <t>Schichtlage</t>
  </si>
  <si>
    <t>Teilstück Zeiten</t>
  </si>
  <si>
    <t>Mindest anrechenbare Fahrunterbrechungen für Einhaltung 04:30 h Lenkzeit</t>
  </si>
  <si>
    <t>Prüfung Pause nach 3,5h und vor 4,5h. Bitte bei Anzeige genauer den Dienst prüfen.</t>
  </si>
  <si>
    <t>Hilfsspalte</t>
  </si>
  <si>
    <t>03:10</t>
  </si>
  <si>
    <t>WF1</t>
  </si>
  <si>
    <t>04:30</t>
  </si>
  <si>
    <t>WF2</t>
  </si>
  <si>
    <t>06:14</t>
  </si>
  <si>
    <t>WF3</t>
  </si>
  <si>
    <t>08:31</t>
  </si>
  <si>
    <t>08:30:00</t>
  </si>
  <si>
    <t>04:30:00</t>
  </si>
  <si>
    <t>06:30:00</t>
  </si>
  <si>
    <t>Anzahl Wegezeiten Dienste</t>
  </si>
  <si>
    <t>F1</t>
  </si>
  <si>
    <t>Dienste Gesamt:</t>
  </si>
  <si>
    <t>1/6 Dienste gesamt</t>
  </si>
  <si>
    <t>F2</t>
  </si>
  <si>
    <t>Dienste über 08:30h:</t>
  </si>
  <si>
    <t>mit zwei Reserve Diensten max 3 Dienste</t>
  </si>
  <si>
    <t>F3</t>
  </si>
  <si>
    <t>Dienste mit Blöcken über 04:30h</t>
  </si>
  <si>
    <t>GF1</t>
  </si>
  <si>
    <t>Arb.Z.</t>
  </si>
  <si>
    <t>Bez.Z.</t>
  </si>
  <si>
    <t>OK</t>
  </si>
  <si>
    <t>GF2</t>
  </si>
  <si>
    <t>Belastung</t>
  </si>
  <si>
    <t>Anmerkungen/ Belastungen</t>
  </si>
  <si>
    <t>S1</t>
  </si>
  <si>
    <t>Verstoß</t>
  </si>
  <si>
    <t>Verstoß gegen BV oder Arbeitszeiten</t>
  </si>
  <si>
    <t>S2</t>
  </si>
  <si>
    <t>N</t>
  </si>
  <si>
    <t>WE-F1</t>
  </si>
  <si>
    <t>WE-F2</t>
  </si>
  <si>
    <t>Zählleiste</t>
  </si>
  <si>
    <t>Kontroll
leiste</t>
  </si>
  <si>
    <t>Schichtlagen</t>
  </si>
  <si>
    <t>Ok</t>
  </si>
  <si>
    <t>Glocke, Ziegler</t>
  </si>
  <si>
    <t>ganze Schicht Linie 15</t>
  </si>
  <si>
    <t>BV Verstoß 3,30h erst Pause</t>
  </si>
  <si>
    <t>07:30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</si>
</sst>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h:mm;@"/>
  </numFmts>
  <fonts count="14">
    <font>
      <sz val="10"/>
      <name val="Arial"/>
    </font>
    <font>
      <sz val="10"/>
      <name val="Arial"/>
      <family val="2"/>
    </font>
    <font>
      <sz val="7.7"/>
      <name val="Arial"/>
      <family val="2"/>
    </font>
    <font>
      <sz val="8"/>
      <name val="Arial"/>
      <family val="2"/>
    </font>
    <font>
      <sz val="7"/>
      <name val="Arial"/>
      <family val="2"/>
    </font>
    <font>
      <b/>
      <sz val="7.7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rgb="FFFF0000"/>
      <name val="Arial"/>
      <family val="2"/>
    </font>
    <font>
      <sz val="13"/>
      <name val="Helvetica Neue"/>
      <family val="2"/>
    </font>
    <font>
      <i/>
      <sz val="10"/>
      <color theme="0" tint="-0.249977111117893"/>
      <name val="Arial"/>
      <family val="2"/>
    </font>
    <font>
      <b/>
      <sz val="10"/>
      <color rgb="FFFF0000"/>
      <name val="Arial"/>
      <family val="2"/>
    </font>
    <font>
      <b/>
      <sz val="12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E4E4E4"/>
        <bgColor indexed="64"/>
      </patternFill>
    </fill>
    <fill>
      <patternFill patternType="solid">
        <fgColor rgb="FFD6D6D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/>
      <top style="medium">
        <color rgb="FF50505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505050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505050"/>
      </left>
      <right/>
      <top/>
      <bottom style="medium">
        <color rgb="FF50505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28">
    <xf numFmtId="0" fontId="0" fillId="0" borderId="0" xfId="0"/>
    <xf numFmtId="49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/>
    <xf numFmtId="49" fontId="1" fillId="0" borderId="0" xfId="0" applyNumberFormat="1" applyFont="1" applyAlignment="1">
      <alignment horizontal="center"/>
    </xf>
    <xf numFmtId="49" fontId="1" fillId="0" borderId="8" xfId="0" applyNumberFormat="1" applyFont="1" applyBorder="1" applyAlignment="1">
      <alignment horizontal="center"/>
    </xf>
    <xf numFmtId="49" fontId="1" fillId="0" borderId="9" xfId="0" applyNumberFormat="1" applyFont="1" applyBorder="1" applyAlignment="1">
      <alignment horizontal="center"/>
    </xf>
    <xf numFmtId="49" fontId="1" fillId="0" borderId="10" xfId="0" applyNumberFormat="1" applyFont="1" applyBorder="1" applyAlignment="1">
      <alignment horizontal="center"/>
    </xf>
    <xf numFmtId="49" fontId="1" fillId="0" borderId="11" xfId="0" applyNumberFormat="1" applyFont="1" applyBorder="1" applyAlignment="1">
      <alignment horizontal="center"/>
    </xf>
    <xf numFmtId="49" fontId="1" fillId="0" borderId="12" xfId="0" applyNumberFormat="1" applyFont="1" applyBorder="1" applyAlignment="1">
      <alignment horizontal="center"/>
    </xf>
    <xf numFmtId="49" fontId="1" fillId="0" borderId="11" xfId="0" applyNumberFormat="1" applyFont="1" applyBorder="1" applyAlignment="1">
      <alignment horizontal="left"/>
    </xf>
    <xf numFmtId="49" fontId="2" fillId="0" borderId="0" xfId="1" applyNumberFormat="1" applyFont="1"/>
    <xf numFmtId="49" fontId="2" fillId="0" borderId="0" xfId="1" applyNumberFormat="1" applyFont="1" applyAlignment="1">
      <alignment horizontal="left"/>
    </xf>
    <xf numFmtId="49" fontId="2" fillId="0" borderId="0" xfId="1" applyNumberFormat="1" applyFont="1" applyAlignment="1">
      <alignment horizontal="center"/>
    </xf>
    <xf numFmtId="49" fontId="3" fillId="2" borderId="13" xfId="1" applyNumberFormat="1" applyFont="1" applyFill="1" applyBorder="1" applyAlignment="1">
      <alignment horizontal="center"/>
    </xf>
    <xf numFmtId="49" fontId="3" fillId="2" borderId="13" xfId="1" applyNumberFormat="1" applyFont="1" applyFill="1" applyBorder="1" applyAlignment="1">
      <alignment horizontal="left"/>
    </xf>
    <xf numFmtId="49" fontId="3" fillId="0" borderId="13" xfId="1" applyNumberFormat="1" applyFont="1" applyBorder="1" applyAlignment="1">
      <alignment horizontal="center"/>
    </xf>
    <xf numFmtId="49" fontId="3" fillId="0" borderId="14" xfId="1" applyNumberFormat="1" applyFont="1" applyBorder="1" applyAlignment="1">
      <alignment horizontal="center"/>
    </xf>
    <xf numFmtId="49" fontId="3" fillId="0" borderId="14" xfId="1" applyNumberFormat="1" applyFont="1" applyBorder="1" applyAlignment="1">
      <alignment horizontal="left"/>
    </xf>
    <xf numFmtId="49" fontId="3" fillId="0" borderId="15" xfId="1" applyNumberFormat="1" applyFont="1" applyBorder="1" applyAlignment="1">
      <alignment horizontal="center"/>
    </xf>
    <xf numFmtId="49" fontId="3" fillId="0" borderId="15" xfId="1" quotePrefix="1" applyNumberFormat="1" applyFont="1" applyBorder="1" applyAlignment="1">
      <alignment horizontal="center"/>
    </xf>
    <xf numFmtId="49" fontId="3" fillId="0" borderId="15" xfId="1" applyNumberFormat="1" applyFont="1" applyBorder="1" applyAlignment="1">
      <alignment horizontal="left"/>
    </xf>
    <xf numFmtId="49" fontId="3" fillId="0" borderId="14" xfId="1" quotePrefix="1" applyNumberFormat="1" applyFont="1" applyBorder="1" applyAlignment="1">
      <alignment horizontal="center"/>
    </xf>
    <xf numFmtId="49" fontId="4" fillId="0" borderId="13" xfId="1" applyNumberFormat="1" applyFont="1" applyBorder="1" applyAlignment="1">
      <alignment horizontal="center"/>
    </xf>
    <xf numFmtId="49" fontId="4" fillId="0" borderId="9" xfId="1" applyNumberFormat="1" applyFont="1" applyBorder="1" applyAlignment="1">
      <alignment horizontal="center"/>
    </xf>
    <xf numFmtId="49" fontId="4" fillId="0" borderId="0" xfId="1" applyNumberFormat="1" applyFont="1" applyAlignment="1">
      <alignment horizontal="center"/>
    </xf>
    <xf numFmtId="49" fontId="4" fillId="0" borderId="12" xfId="1" applyNumberFormat="1" applyFont="1" applyBorder="1" applyAlignment="1">
      <alignment horizontal="right"/>
    </xf>
    <xf numFmtId="49" fontId="4" fillId="0" borderId="11" xfId="1" applyNumberFormat="1" applyFont="1" applyBorder="1" applyAlignment="1">
      <alignment horizontal="left"/>
    </xf>
    <xf numFmtId="49" fontId="4" fillId="0" borderId="16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49" fontId="4" fillId="0" borderId="7" xfId="1" applyNumberFormat="1" applyFont="1" applyBorder="1" applyAlignment="1">
      <alignment horizontal="right"/>
    </xf>
    <xf numFmtId="49" fontId="4" fillId="0" borderId="6" xfId="1" applyNumberFormat="1" applyFont="1" applyBorder="1" applyAlignment="1">
      <alignment horizontal="center"/>
    </xf>
    <xf numFmtId="49" fontId="4" fillId="0" borderId="5" xfId="1" applyNumberFormat="1" applyFont="1" applyBorder="1" applyAlignment="1">
      <alignment horizontal="left"/>
    </xf>
    <xf numFmtId="49" fontId="4" fillId="0" borderId="17" xfId="1" applyNumberFormat="1" applyFont="1" applyBorder="1" applyAlignment="1">
      <alignment horizontal="center"/>
    </xf>
    <xf numFmtId="49" fontId="2" fillId="0" borderId="0" xfId="1" applyNumberFormat="1" applyFont="1" applyAlignment="1">
      <alignment horizontal="right"/>
    </xf>
    <xf numFmtId="49" fontId="5" fillId="0" borderId="0" xfId="1" applyNumberFormat="1" applyFont="1"/>
    <xf numFmtId="49" fontId="5" fillId="0" borderId="0" xfId="1" applyNumberFormat="1" applyFont="1" applyAlignment="1">
      <alignment horizontal="right"/>
    </xf>
    <xf numFmtId="49" fontId="5" fillId="0" borderId="0" xfId="1" applyNumberFormat="1" applyFont="1" applyAlignment="1">
      <alignment horizontal="center"/>
    </xf>
    <xf numFmtId="49" fontId="5" fillId="0" borderId="0" xfId="1" applyNumberFormat="1" applyFont="1" applyAlignment="1">
      <alignment horizontal="left"/>
    </xf>
    <xf numFmtId="49" fontId="2" fillId="0" borderId="0" xfId="1" quotePrefix="1" applyNumberFormat="1" applyFont="1"/>
    <xf numFmtId="49" fontId="2" fillId="0" borderId="0" xfId="1" quotePrefix="1" applyNumberFormat="1" applyFont="1" applyAlignment="1">
      <alignment horizont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3" xfId="0" applyNumberFormat="1" applyFont="1" applyFill="1" applyBorder="1" applyAlignment="1">
      <alignment horizontal="center" vertical="center"/>
    </xf>
    <xf numFmtId="49" fontId="1" fillId="3" borderId="0" xfId="0" applyNumberFormat="1" applyFont="1" applyFill="1" applyAlignment="1">
      <alignment horizontal="center" vertical="center"/>
    </xf>
    <xf numFmtId="49" fontId="1" fillId="3" borderId="0" xfId="0" applyNumberFormat="1" applyFont="1" applyFill="1" applyAlignment="1">
      <alignment horizontal="center"/>
    </xf>
    <xf numFmtId="49" fontId="1" fillId="3" borderId="5" xfId="0" applyNumberFormat="1" applyFont="1" applyFill="1" applyBorder="1" applyAlignment="1">
      <alignment horizontal="center"/>
    </xf>
    <xf numFmtId="49" fontId="1" fillId="3" borderId="6" xfId="0" applyNumberFormat="1" applyFont="1" applyFill="1" applyBorder="1" applyAlignment="1">
      <alignment horizontal="center"/>
    </xf>
    <xf numFmtId="49" fontId="1" fillId="3" borderId="7" xfId="0" applyNumberFormat="1" applyFont="1" applyFill="1" applyBorder="1" applyAlignment="1">
      <alignment horizontal="center"/>
    </xf>
    <xf numFmtId="49" fontId="1" fillId="3" borderId="8" xfId="0" applyNumberFormat="1" applyFont="1" applyFill="1" applyBorder="1" applyAlignment="1">
      <alignment horizontal="center"/>
    </xf>
    <xf numFmtId="49" fontId="1" fillId="3" borderId="9" xfId="0" applyNumberFormat="1" applyFont="1" applyFill="1" applyBorder="1" applyAlignment="1">
      <alignment horizontal="center"/>
    </xf>
    <xf numFmtId="49" fontId="1" fillId="3" borderId="10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left"/>
    </xf>
    <xf numFmtId="0" fontId="0" fillId="4" borderId="0" xfId="0" applyFill="1"/>
    <xf numFmtId="0" fontId="6" fillId="5" borderId="4" xfId="0" applyFont="1" applyFill="1" applyBorder="1" applyAlignment="1">
      <alignment horizontal="center" vertical="center"/>
    </xf>
    <xf numFmtId="49" fontId="6" fillId="6" borderId="4" xfId="0" applyNumberFormat="1" applyFont="1" applyFill="1" applyBorder="1" applyAlignment="1">
      <alignment horizontal="center" vertical="center"/>
    </xf>
    <xf numFmtId="49" fontId="6" fillId="7" borderId="4" xfId="0" applyNumberFormat="1" applyFont="1" applyFill="1" applyBorder="1" applyAlignment="1">
      <alignment horizontal="center" vertical="center"/>
    </xf>
    <xf numFmtId="49" fontId="6" fillId="8" borderId="4" xfId="0" applyNumberFormat="1" applyFont="1" applyFill="1" applyBorder="1" applyAlignment="1">
      <alignment horizontal="center" vertical="center"/>
    </xf>
    <xf numFmtId="49" fontId="6" fillId="5" borderId="4" xfId="0" applyNumberFormat="1" applyFont="1" applyFill="1" applyBorder="1" applyAlignment="1">
      <alignment horizontal="center" vertical="center"/>
    </xf>
    <xf numFmtId="49" fontId="6" fillId="5" borderId="2" xfId="0" applyNumberFormat="1" applyFont="1" applyFill="1" applyBorder="1" applyAlignment="1">
      <alignment horizontal="center" vertical="center"/>
    </xf>
    <xf numFmtId="49" fontId="7" fillId="9" borderId="18" xfId="0" applyNumberFormat="1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12" borderId="4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 applyProtection="1">
      <alignment horizontal="center" vertical="center"/>
      <protection locked="0"/>
    </xf>
    <xf numFmtId="49" fontId="6" fillId="8" borderId="4" xfId="0" applyNumberFormat="1" applyFont="1" applyFill="1" applyBorder="1" applyAlignment="1" applyProtection="1">
      <alignment horizontal="center" vertical="center"/>
      <protection locked="0"/>
    </xf>
    <xf numFmtId="1" fontId="1" fillId="12" borderId="4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164" fontId="8" fillId="9" borderId="18" xfId="0" applyNumberFormat="1" applyFont="1" applyFill="1" applyBorder="1" applyAlignment="1">
      <alignment horizontal="center"/>
    </xf>
    <xf numFmtId="49" fontId="1" fillId="13" borderId="3" xfId="0" applyNumberFormat="1" applyFont="1" applyFill="1" applyBorder="1" applyAlignment="1">
      <alignment horizontal="center" vertical="center"/>
    </xf>
    <xf numFmtId="49" fontId="1" fillId="13" borderId="4" xfId="0" applyNumberFormat="1" applyFont="1" applyFill="1" applyBorder="1" applyAlignment="1">
      <alignment horizontal="center" vertical="center"/>
    </xf>
    <xf numFmtId="0" fontId="1" fillId="12" borderId="4" xfId="0" applyFont="1" applyFill="1" applyBorder="1" applyAlignment="1">
      <alignment horizontal="center" wrapText="1"/>
    </xf>
    <xf numFmtId="49" fontId="1" fillId="13" borderId="3" xfId="0" applyNumberFormat="1" applyFont="1" applyFill="1" applyBorder="1" applyAlignment="1">
      <alignment horizontal="center"/>
    </xf>
    <xf numFmtId="49" fontId="1" fillId="13" borderId="4" xfId="0" applyNumberFormat="1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164" fontId="1" fillId="13" borderId="3" xfId="0" applyNumberFormat="1" applyFont="1" applyFill="1" applyBorder="1" applyAlignment="1">
      <alignment horizontal="center" vertical="center"/>
    </xf>
    <xf numFmtId="164" fontId="1" fillId="13" borderId="3" xfId="0" applyNumberFormat="1" applyFont="1" applyFill="1" applyBorder="1" applyAlignment="1">
      <alignment horizontal="center"/>
    </xf>
    <xf numFmtId="1" fontId="1" fillId="9" borderId="4" xfId="0" applyNumberFormat="1" applyFont="1" applyFill="1" applyBorder="1" applyAlignment="1">
      <alignment horizontal="center"/>
    </xf>
    <xf numFmtId="165" fontId="1" fillId="14" borderId="18" xfId="0" applyNumberFormat="1" applyFont="1" applyFill="1" applyBorder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13" borderId="4" xfId="0" applyFont="1" applyFill="1" applyBorder="1" applyAlignment="1">
      <alignment horizontal="center"/>
    </xf>
    <xf numFmtId="164" fontId="1" fillId="13" borderId="4" xfId="0" applyNumberFormat="1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49" fontId="6" fillId="8" borderId="4" xfId="0" applyNumberFormat="1" applyFont="1" applyFill="1" applyBorder="1" applyAlignment="1">
      <alignment horizontal="center"/>
    </xf>
    <xf numFmtId="2" fontId="1" fillId="5" borderId="0" xfId="0" applyNumberFormat="1" applyFont="1" applyFill="1" applyAlignment="1">
      <alignment horizontal="center"/>
    </xf>
    <xf numFmtId="0" fontId="1" fillId="0" borderId="0" xfId="0" applyFont="1" applyAlignment="1">
      <alignment horizontal="center"/>
    </xf>
    <xf numFmtId="49" fontId="1" fillId="7" borderId="0" xfId="0" applyNumberFormat="1" applyFont="1" applyFill="1" applyAlignment="1">
      <alignment horizontal="center"/>
    </xf>
    <xf numFmtId="2" fontId="1" fillId="7" borderId="0" xfId="0" applyNumberFormat="1" applyFont="1" applyFill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49" fontId="1" fillId="5" borderId="0" xfId="0" applyNumberFormat="1" applyFont="1" applyFill="1" applyAlignment="1">
      <alignment horizontal="center" wrapText="1"/>
    </xf>
    <xf numFmtId="49" fontId="9" fillId="0" borderId="0" xfId="0" applyNumberFormat="1" applyFont="1" applyAlignment="1">
      <alignment horizontal="center" wrapText="1"/>
    </xf>
    <xf numFmtId="0" fontId="10" fillId="15" borderId="4" xfId="0" applyFont="1" applyFill="1" applyBorder="1"/>
    <xf numFmtId="0" fontId="6" fillId="16" borderId="4" xfId="0" applyFont="1" applyFill="1" applyBorder="1" applyAlignment="1">
      <alignment horizontal="center" vertical="center" wrapText="1"/>
    </xf>
    <xf numFmtId="0" fontId="6" fillId="16" borderId="4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1" fillId="0" borderId="0" xfId="0" applyFont="1"/>
    <xf numFmtId="49" fontId="1" fillId="9" borderId="0" xfId="0" applyNumberFormat="1" applyFont="1" applyFill="1" applyAlignment="1" applyProtection="1">
      <alignment horizontal="center"/>
      <protection locked="0"/>
    </xf>
    <xf numFmtId="49" fontId="6" fillId="17" borderId="0" xfId="0" applyNumberFormat="1" applyFont="1" applyFill="1" applyAlignment="1">
      <alignment horizontal="center"/>
    </xf>
    <xf numFmtId="49" fontId="1" fillId="17" borderId="0" xfId="0" applyNumberFormat="1" applyFont="1" applyFill="1" applyAlignment="1" applyProtection="1">
      <alignment horizontal="center"/>
      <protection locked="0"/>
    </xf>
    <xf numFmtId="49" fontId="6" fillId="16" borderId="0" xfId="0" applyNumberFormat="1" applyFont="1" applyFill="1" applyAlignment="1">
      <alignment horizontal="center"/>
    </xf>
    <xf numFmtId="49" fontId="12" fillId="16" borderId="0" xfId="0" applyNumberFormat="1" applyFont="1" applyFill="1" applyAlignment="1">
      <alignment horizontal="center"/>
    </xf>
    <xf numFmtId="49" fontId="6" fillId="18" borderId="0" xfId="0" applyNumberFormat="1" applyFont="1" applyFill="1" applyAlignment="1">
      <alignment horizontal="center"/>
    </xf>
    <xf numFmtId="49" fontId="1" fillId="15" borderId="4" xfId="0" applyNumberFormat="1" applyFont="1" applyFill="1" applyBorder="1" applyAlignment="1">
      <alignment horizontal="center"/>
    </xf>
    <xf numFmtId="49" fontId="1" fillId="15" borderId="4" xfId="0" applyNumberFormat="1" applyFont="1" applyFill="1" applyBorder="1" applyAlignment="1">
      <alignment horizontal="center" wrapText="1"/>
    </xf>
    <xf numFmtId="2" fontId="1" fillId="0" borderId="4" xfId="0" applyNumberFormat="1" applyFont="1" applyBorder="1" applyAlignment="1">
      <alignment horizontal="center"/>
    </xf>
    <xf numFmtId="49" fontId="1" fillId="17" borderId="4" xfId="0" applyNumberFormat="1" applyFont="1" applyFill="1" applyBorder="1" applyAlignment="1">
      <alignment horizontal="center"/>
    </xf>
    <xf numFmtId="49" fontId="13" fillId="0" borderId="4" xfId="0" applyNumberFormat="1" applyFont="1" applyBorder="1" applyAlignment="1">
      <alignment horizontal="center"/>
    </xf>
    <xf numFmtId="49" fontId="1" fillId="16" borderId="4" xfId="0" applyNumberFormat="1" applyFont="1" applyFill="1" applyBorder="1" applyAlignment="1">
      <alignment horizontal="center"/>
    </xf>
    <xf numFmtId="49" fontId="1" fillId="18" borderId="4" xfId="0" applyNumberFormat="1" applyFont="1" applyFill="1" applyBorder="1" applyAlignment="1">
      <alignment horizontal="center"/>
    </xf>
    <xf numFmtId="49" fontId="1" fillId="0" borderId="4" xfId="0" applyNumberFormat="1" applyFont="1" applyBorder="1" applyAlignment="1">
      <alignment horizontal="center"/>
    </xf>
    <xf numFmtId="2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16" borderId="0" xfId="0" applyNumberFormat="1" applyFont="1" applyFill="1" applyAlignment="1">
      <alignment horizontal="center"/>
    </xf>
    <xf numFmtId="49" fontId="1" fillId="3" borderId="1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49" fontId="1" fillId="10" borderId="19" xfId="0" applyNumberFormat="1" applyFont="1" applyFill="1" applyBorder="1" applyAlignment="1">
      <alignment horizontal="center" vertical="center" wrapText="1"/>
    </xf>
    <xf numFmtId="49" fontId="1" fillId="10" borderId="21" xfId="0" applyNumberFormat="1" applyFont="1" applyFill="1" applyBorder="1" applyAlignment="1">
      <alignment horizontal="center" vertical="center" wrapText="1"/>
    </xf>
    <xf numFmtId="49" fontId="1" fillId="10" borderId="23" xfId="0" applyNumberFormat="1" applyFont="1" applyFill="1" applyBorder="1" applyAlignment="1">
      <alignment horizontal="center" vertical="center" wrapText="1"/>
    </xf>
    <xf numFmtId="2" fontId="1" fillId="11" borderId="20" xfId="0" applyNumberFormat="1" applyFont="1" applyFill="1" applyBorder="1" applyAlignment="1">
      <alignment horizontal="center" wrapText="1"/>
    </xf>
    <xf numFmtId="2" fontId="1" fillId="11" borderId="22" xfId="0" applyNumberFormat="1" applyFont="1" applyFill="1" applyBorder="1" applyAlignment="1">
      <alignment horizontal="center" wrapText="1"/>
    </xf>
    <xf numFmtId="2" fontId="1" fillId="11" borderId="24" xfId="0" applyNumberFormat="1" applyFont="1" applyFill="1" applyBorder="1" applyAlignment="1">
      <alignment horizontal="center" wrapText="1"/>
    </xf>
    <xf numFmtId="49" fontId="1" fillId="3" borderId="4" xfId="0" applyNumberFormat="1" applyFont="1" applyFill="1" applyBorder="1" applyAlignment="1">
      <alignment horizontal="center" vertical="center"/>
    </xf>
    <xf numFmtId="49" fontId="1" fillId="3" borderId="2" xfId="0" applyNumberFormat="1" applyFont="1" applyFill="1" applyBorder="1" applyAlignment="1">
      <alignment horizontal="center" vertical="center"/>
    </xf>
    <xf numFmtId="49" fontId="4" fillId="0" borderId="15" xfId="1" applyNumberFormat="1" applyFont="1" applyBorder="1" applyAlignment="1">
      <alignment horizontal="center" vertical="center" wrapText="1"/>
    </xf>
    <xf numFmtId="0" fontId="4" fillId="0" borderId="14" xfId="1" applyFont="1" applyBorder="1" applyAlignment="1">
      <alignment horizontal="center" vertical="center" wrapText="1"/>
    </xf>
    <xf numFmtId="49" fontId="4" fillId="0" borderId="14" xfId="1" applyNumberFormat="1" applyFont="1" applyBorder="1" applyAlignment="1">
      <alignment horizontal="center" vertical="center" wrapText="1"/>
    </xf>
    <xf numFmtId="49" fontId="1" fillId="16" borderId="0" xfId="0" applyNumberFormat="1" applyFont="1" applyFill="1" applyAlignment="1" applyProtection="1">
      <alignment horizontal="center"/>
      <protection locked="0"/>
    </xf>
  </cellXfs>
  <cellStyles count="2">
    <cellStyle name="Standard" xfId="0" builtinId="0"/>
    <cellStyle name="Standard 2" xfId="1" xr:uid="{0B8571EC-A675-4590-863D-C5C7D5228C32}"/>
  </cellStyles>
  <dxfs count="40">
    <dxf>
      <font>
        <b/>
        <i/>
      </font>
      <fill>
        <patternFill>
          <bgColor rgb="FF00B050"/>
        </patternFill>
      </fill>
    </dxf>
    <dxf>
      <font>
        <b/>
        <i/>
      </font>
      <fill>
        <patternFill>
          <bgColor rgb="FFFFFF00"/>
        </patternFill>
      </fill>
    </dxf>
    <dxf>
      <font>
        <b/>
        <i/>
      </font>
      <fill>
        <patternFill>
          <bgColor rgb="FFFFFF00"/>
        </patternFill>
      </fill>
    </dxf>
    <dxf>
      <font>
        <color theme="0"/>
      </font>
      <fill>
        <patternFill>
          <bgColor theme="0"/>
        </patternFill>
      </fill>
    </dxf>
    <dxf>
      <font>
        <color rgb="FFDDD9C4"/>
      </font>
      <fill>
        <patternFill patternType="solid">
          <bgColor rgb="FFDDD9C4"/>
        </patternFill>
      </fill>
    </dxf>
    <dxf>
      <font>
        <color rgb="FFFFFFFF"/>
      </font>
      <fill>
        <patternFill patternType="solid">
          <bgColor rgb="FFFFFFFF"/>
        </patternFill>
      </fill>
    </dxf>
    <dxf>
      <font>
        <b/>
        <i val="0"/>
      </font>
      <fill>
        <patternFill>
          <bgColor rgb="FFFFFF00"/>
        </pattern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  <vertical/>
        <horizontal/>
      </border>
    </dxf>
    <dxf>
      <font>
        <b/>
        <i val="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2D050"/>
      </font>
      <fill>
        <patternFill>
          <bgColor rgb="FF92D050"/>
        </patternFill>
      </fill>
    </dxf>
    <dxf>
      <font>
        <color rgb="FF92D050"/>
      </font>
      <fill>
        <patternFill>
          <bgColor rgb="FF92D050"/>
        </patternFill>
      </fill>
    </dxf>
    <dxf>
      <font>
        <color rgb="FF92D050"/>
      </font>
      <fill>
        <patternFill>
          <bgColor rgb="FF92D050"/>
        </patternFill>
      </fill>
    </dxf>
    <dxf>
      <font>
        <b/>
        <i val="0"/>
        <color theme="1"/>
      </font>
      <fill>
        <patternFill>
          <bgColor theme="8"/>
        </patternFill>
      </fill>
    </dxf>
    <dxf>
      <font>
        <color theme="8"/>
      </font>
      <fill>
        <patternFill>
          <bgColor theme="8"/>
        </patternFill>
      </fill>
    </dxf>
    <dxf>
      <font>
        <color theme="8"/>
      </font>
      <fill>
        <patternFill>
          <bgColor theme="8"/>
        </patternFill>
      </fill>
    </dxf>
    <dxf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theme="8"/>
        </patternFill>
      </fill>
    </dxf>
    <dxf>
      <font>
        <color theme="8"/>
      </font>
      <fill>
        <patternFill>
          <bgColor theme="8"/>
        </patternFill>
      </fill>
    </dxf>
    <dxf>
      <font>
        <color theme="8"/>
      </font>
      <fill>
        <patternFill>
          <bgColor theme="8"/>
        </patternFill>
      </fill>
    </dxf>
    <dxf>
      <font>
        <color theme="8"/>
      </font>
      <fill>
        <patternFill>
          <bgColor theme="8"/>
        </patternFill>
      </fill>
    </dxf>
    <dxf>
      <font>
        <color theme="8"/>
      </font>
      <fill>
        <patternFill>
          <bgColor theme="8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color theme="1"/>
      </font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2.xml"/><Relationship Id="rId5" Type="http://schemas.openxmlformats.org/officeDocument/2006/relationships/styles" Target="style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R214"/>
  <sheetViews>
    <sheetView tabSelected="1" topLeftCell="C211" workbookViewId="0">
      <selection activeCell="C1" sqref="C1:Q214"/>
    </sheetView>
  </sheetViews>
  <sheetFormatPr baseColWidth="10" defaultColWidth="11.44140625" defaultRowHeight="11.1" customHeight="1"/>
  <cols>
    <col min="1" max="1" width="7.109375" style="3" hidden="1" customWidth="1"/>
    <col min="2" max="2" width="7" style="3" hidden="1" customWidth="1"/>
    <col min="3" max="4" width="7.88671875" style="4" customWidth="1"/>
    <col min="5" max="5" width="7" style="4" customWidth="1"/>
    <col min="6" max="8" width="7.88671875" style="4" customWidth="1"/>
    <col min="9" max="9" width="3.5546875" style="4" customWidth="1"/>
    <col min="10" max="11" width="7.88671875" style="4" customWidth="1"/>
    <col min="12" max="12" width="3.5546875" style="4" customWidth="1"/>
    <col min="13" max="14" width="6.109375" style="4" customWidth="1"/>
    <col min="15" max="17" width="7" style="4" customWidth="1"/>
    <col min="18" max="18" width="7.5546875" style="4" hidden="1" customWidth="1"/>
    <col min="19" max="16384" width="11.44140625" style="4"/>
  </cols>
  <sheetData>
    <row r="1" spans="1:18" s="2" customFormat="1" ht="11.1" customHeight="1">
      <c r="A1" s="1"/>
      <c r="B1" s="1"/>
      <c r="C1" s="113" t="s">
        <v>11</v>
      </c>
      <c r="D1" s="114"/>
      <c r="E1" s="114"/>
      <c r="F1" s="115"/>
      <c r="G1" s="113" t="s">
        <v>1064</v>
      </c>
      <c r="H1" s="114"/>
      <c r="I1" s="114"/>
      <c r="J1" s="114"/>
      <c r="K1" s="114"/>
      <c r="L1" s="114"/>
      <c r="M1" s="114"/>
      <c r="N1" s="114"/>
      <c r="O1" s="115"/>
      <c r="P1" s="41" t="s">
        <v>19</v>
      </c>
      <c r="Q1" s="42">
        <v>1</v>
      </c>
    </row>
    <row r="2" spans="1:18" s="2" customFormat="1" ht="11.1" customHeight="1">
      <c r="A2" s="1"/>
      <c r="B2" s="1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</row>
    <row r="3" spans="1:18" s="2" customFormat="1" ht="11.1" customHeight="1">
      <c r="A3" s="1"/>
      <c r="B3" s="1"/>
      <c r="C3" s="122" t="s">
        <v>18</v>
      </c>
      <c r="D3" s="122"/>
      <c r="E3" s="122"/>
      <c r="F3" s="122"/>
      <c r="G3" s="113" t="s">
        <v>1067</v>
      </c>
      <c r="H3" s="114"/>
      <c r="I3" s="114"/>
      <c r="J3" s="114"/>
      <c r="K3" s="114"/>
      <c r="L3" s="114"/>
      <c r="M3" s="114"/>
      <c r="N3" s="115"/>
      <c r="O3" s="113" t="s">
        <v>22</v>
      </c>
      <c r="P3" s="123"/>
      <c r="Q3" s="115"/>
    </row>
    <row r="4" spans="1:18" ht="11.1" customHeight="1"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</row>
    <row r="5" spans="1:18" ht="11.1" customHeight="1">
      <c r="B5" s="3" t="s">
        <v>9</v>
      </c>
      <c r="C5" s="45" t="s">
        <v>0</v>
      </c>
      <c r="D5" s="46" t="s">
        <v>1</v>
      </c>
      <c r="E5" s="46" t="s">
        <v>3</v>
      </c>
      <c r="F5" s="46" t="s">
        <v>12</v>
      </c>
      <c r="G5" s="46" t="s">
        <v>14</v>
      </c>
      <c r="H5" s="46" t="s">
        <v>15</v>
      </c>
      <c r="I5" s="46"/>
      <c r="J5" s="46" t="s">
        <v>16</v>
      </c>
      <c r="K5" s="46" t="s">
        <v>14</v>
      </c>
      <c r="L5" s="46"/>
      <c r="M5" s="46" t="s">
        <v>4</v>
      </c>
      <c r="N5" s="46" t="s">
        <v>6</v>
      </c>
      <c r="O5" s="46" t="s">
        <v>0</v>
      </c>
      <c r="P5" s="46" t="s">
        <v>0</v>
      </c>
      <c r="Q5" s="47" t="s">
        <v>21</v>
      </c>
      <c r="R5" s="4" t="s">
        <v>10</v>
      </c>
    </row>
    <row r="6" spans="1:18" ht="11.1" customHeight="1">
      <c r="C6" s="48" t="s">
        <v>2</v>
      </c>
      <c r="D6" s="49"/>
      <c r="E6" s="49"/>
      <c r="F6" s="49" t="s">
        <v>13</v>
      </c>
      <c r="G6" s="49"/>
      <c r="H6" s="49"/>
      <c r="I6" s="49"/>
      <c r="J6" s="49" t="s">
        <v>13</v>
      </c>
      <c r="K6" s="49"/>
      <c r="L6" s="49"/>
      <c r="M6" s="49" t="s">
        <v>5</v>
      </c>
      <c r="N6" s="49" t="s">
        <v>5</v>
      </c>
      <c r="O6" s="49" t="s">
        <v>7</v>
      </c>
      <c r="P6" s="49" t="s">
        <v>8</v>
      </c>
      <c r="Q6" s="50" t="s">
        <v>17</v>
      </c>
    </row>
    <row r="7" spans="1:18" ht="11.1" customHeight="1">
      <c r="C7" s="8" t="s">
        <v>23</v>
      </c>
      <c r="D7" s="4" t="s">
        <v>24</v>
      </c>
      <c r="F7" s="4" t="s">
        <v>25</v>
      </c>
      <c r="G7" s="4" t="s">
        <v>26</v>
      </c>
      <c r="J7" s="4" t="s">
        <v>27</v>
      </c>
      <c r="O7" s="4" t="s">
        <v>25</v>
      </c>
      <c r="P7" s="4" t="s">
        <v>27</v>
      </c>
      <c r="Q7" s="9" t="s">
        <v>28</v>
      </c>
    </row>
    <row r="8" spans="1:18" ht="11.1" customHeight="1">
      <c r="C8" s="8"/>
      <c r="Q8" s="9"/>
    </row>
    <row r="9" spans="1:18" ht="11.1" customHeight="1">
      <c r="C9" s="8" t="s">
        <v>29</v>
      </c>
      <c r="D9" s="4" t="s">
        <v>24</v>
      </c>
      <c r="F9" s="4" t="s">
        <v>30</v>
      </c>
      <c r="G9" s="4" t="s">
        <v>26</v>
      </c>
      <c r="J9" s="4" t="s">
        <v>31</v>
      </c>
      <c r="O9" s="4" t="s">
        <v>30</v>
      </c>
      <c r="P9" s="4" t="s">
        <v>31</v>
      </c>
      <c r="Q9" s="9" t="s">
        <v>28</v>
      </c>
    </row>
    <row r="10" spans="1:18" ht="11.1" customHeight="1">
      <c r="C10" s="8"/>
      <c r="Q10" s="9"/>
    </row>
    <row r="11" spans="1:18" ht="11.1" customHeight="1">
      <c r="C11" s="8" t="s">
        <v>32</v>
      </c>
      <c r="D11" s="4" t="s">
        <v>33</v>
      </c>
      <c r="E11" s="4" t="s">
        <v>34</v>
      </c>
      <c r="F11" s="4" t="s">
        <v>35</v>
      </c>
      <c r="G11" s="4" t="s">
        <v>26</v>
      </c>
      <c r="H11" s="4" t="s">
        <v>36</v>
      </c>
      <c r="J11" s="4" t="s">
        <v>37</v>
      </c>
      <c r="K11" s="4" t="s">
        <v>38</v>
      </c>
      <c r="N11" s="4" t="s">
        <v>39</v>
      </c>
      <c r="O11" s="4" t="s">
        <v>40</v>
      </c>
      <c r="Q11" s="9"/>
    </row>
    <row r="12" spans="1:18" ht="11.1" customHeight="1">
      <c r="C12" s="8"/>
      <c r="D12" s="4" t="s">
        <v>41</v>
      </c>
      <c r="E12" s="4" t="s">
        <v>42</v>
      </c>
      <c r="F12" s="4" t="s">
        <v>43</v>
      </c>
      <c r="G12" s="4" t="s">
        <v>44</v>
      </c>
      <c r="H12" s="4" t="s">
        <v>45</v>
      </c>
      <c r="J12" s="4" t="s">
        <v>46</v>
      </c>
      <c r="K12" s="4" t="s">
        <v>47</v>
      </c>
      <c r="M12" s="4" t="s">
        <v>48</v>
      </c>
      <c r="N12" s="4" t="s">
        <v>49</v>
      </c>
      <c r="P12" s="4" t="s">
        <v>50</v>
      </c>
      <c r="Q12" s="9" t="s">
        <v>51</v>
      </c>
    </row>
    <row r="13" spans="1:18" ht="11.1" customHeight="1">
      <c r="C13" s="8"/>
      <c r="Q13" s="9"/>
    </row>
    <row r="14" spans="1:18" ht="11.1" customHeight="1">
      <c r="C14" s="8" t="s">
        <v>52</v>
      </c>
      <c r="D14" s="4" t="s">
        <v>53</v>
      </c>
      <c r="E14" s="4" t="s">
        <v>54</v>
      </c>
      <c r="F14" s="4" t="s">
        <v>55</v>
      </c>
      <c r="G14" s="4" t="s">
        <v>26</v>
      </c>
      <c r="H14" s="4" t="s">
        <v>36</v>
      </c>
      <c r="J14" s="4" t="s">
        <v>56</v>
      </c>
      <c r="K14" s="4" t="s">
        <v>47</v>
      </c>
      <c r="N14" s="4" t="s">
        <v>57</v>
      </c>
      <c r="O14" s="4" t="s">
        <v>58</v>
      </c>
      <c r="Q14" s="9"/>
    </row>
    <row r="15" spans="1:18" ht="11.1" customHeight="1">
      <c r="C15" s="8"/>
      <c r="D15" s="4" t="s">
        <v>41</v>
      </c>
      <c r="E15" s="4" t="s">
        <v>59</v>
      </c>
      <c r="F15" s="4" t="s">
        <v>60</v>
      </c>
      <c r="G15" s="4" t="s">
        <v>44</v>
      </c>
      <c r="H15" s="4" t="s">
        <v>45</v>
      </c>
      <c r="J15" s="4" t="s">
        <v>61</v>
      </c>
      <c r="K15" s="4" t="s">
        <v>47</v>
      </c>
      <c r="M15" s="4" t="s">
        <v>62</v>
      </c>
      <c r="N15" s="4" t="s">
        <v>63</v>
      </c>
      <c r="P15" s="4" t="s">
        <v>64</v>
      </c>
      <c r="Q15" s="9" t="s">
        <v>65</v>
      </c>
    </row>
    <row r="16" spans="1:18" ht="11.1" customHeight="1">
      <c r="C16" s="8"/>
      <c r="Q16" s="9"/>
    </row>
    <row r="17" spans="3:17" ht="11.1" customHeight="1">
      <c r="C17" s="8" t="s">
        <v>66</v>
      </c>
      <c r="D17" s="4" t="s">
        <v>33</v>
      </c>
      <c r="E17" s="4" t="s">
        <v>67</v>
      </c>
      <c r="F17" s="4" t="s">
        <v>68</v>
      </c>
      <c r="G17" s="4" t="s">
        <v>26</v>
      </c>
      <c r="H17" s="4" t="s">
        <v>69</v>
      </c>
      <c r="J17" s="4" t="s">
        <v>70</v>
      </c>
      <c r="K17" s="4" t="s">
        <v>36</v>
      </c>
      <c r="N17" s="4" t="s">
        <v>71</v>
      </c>
      <c r="O17" s="4" t="s">
        <v>72</v>
      </c>
      <c r="Q17" s="9"/>
    </row>
    <row r="18" spans="3:17" ht="11.1" customHeight="1">
      <c r="C18" s="8"/>
      <c r="D18" s="4" t="s">
        <v>33</v>
      </c>
      <c r="E18" s="4" t="s">
        <v>73</v>
      </c>
      <c r="F18" s="4" t="s">
        <v>74</v>
      </c>
      <c r="G18" s="4" t="s">
        <v>36</v>
      </c>
      <c r="H18" s="4" t="s">
        <v>36</v>
      </c>
      <c r="J18" s="4" t="s">
        <v>75</v>
      </c>
      <c r="K18" s="4" t="s">
        <v>38</v>
      </c>
      <c r="M18" s="4" t="s">
        <v>76</v>
      </c>
      <c r="N18" s="4" t="s">
        <v>77</v>
      </c>
      <c r="P18" s="4" t="s">
        <v>78</v>
      </c>
      <c r="Q18" s="9" t="s">
        <v>79</v>
      </c>
    </row>
    <row r="19" spans="3:17" ht="11.1" customHeight="1">
      <c r="C19" s="8"/>
      <c r="Q19" s="9"/>
    </row>
    <row r="20" spans="3:17" ht="11.1" customHeight="1">
      <c r="C20" s="8" t="s">
        <v>80</v>
      </c>
      <c r="D20" s="4" t="s">
        <v>81</v>
      </c>
      <c r="E20" s="4" t="s">
        <v>82</v>
      </c>
      <c r="F20" s="4" t="s">
        <v>83</v>
      </c>
      <c r="G20" s="4" t="s">
        <v>26</v>
      </c>
      <c r="H20" s="4" t="s">
        <v>47</v>
      </c>
      <c r="J20" s="4" t="s">
        <v>84</v>
      </c>
      <c r="K20" s="4" t="s">
        <v>44</v>
      </c>
      <c r="N20" s="4" t="s">
        <v>85</v>
      </c>
      <c r="O20" s="4" t="s">
        <v>86</v>
      </c>
      <c r="Q20" s="9"/>
    </row>
    <row r="21" spans="3:17" ht="11.1" customHeight="1">
      <c r="C21" s="8"/>
      <c r="D21" s="4" t="s">
        <v>87</v>
      </c>
      <c r="E21" s="4" t="s">
        <v>88</v>
      </c>
      <c r="F21" s="4" t="s">
        <v>89</v>
      </c>
      <c r="G21" s="4" t="s">
        <v>44</v>
      </c>
      <c r="H21" s="4" t="s">
        <v>90</v>
      </c>
      <c r="J21" s="4" t="s">
        <v>91</v>
      </c>
      <c r="K21" s="4" t="s">
        <v>44</v>
      </c>
      <c r="M21" s="4" t="s">
        <v>92</v>
      </c>
      <c r="N21" s="4" t="s">
        <v>93</v>
      </c>
      <c r="P21" s="4" t="s">
        <v>94</v>
      </c>
      <c r="Q21" s="9" t="s">
        <v>95</v>
      </c>
    </row>
    <row r="22" spans="3:17" ht="11.1" customHeight="1">
      <c r="C22" s="8"/>
      <c r="Q22" s="9"/>
    </row>
    <row r="23" spans="3:17" ht="11.1" customHeight="1">
      <c r="C23" s="8" t="s">
        <v>62</v>
      </c>
      <c r="D23" s="4" t="s">
        <v>41</v>
      </c>
      <c r="E23" s="4" t="s">
        <v>59</v>
      </c>
      <c r="F23" s="4" t="s">
        <v>83</v>
      </c>
      <c r="G23" s="4" t="s">
        <v>26</v>
      </c>
      <c r="H23" s="4" t="s">
        <v>44</v>
      </c>
      <c r="J23" s="4" t="s">
        <v>60</v>
      </c>
      <c r="K23" s="4" t="s">
        <v>44</v>
      </c>
      <c r="N23" s="4" t="s">
        <v>52</v>
      </c>
      <c r="O23" s="4" t="s">
        <v>86</v>
      </c>
      <c r="Q23" s="9"/>
    </row>
    <row r="24" spans="3:17" ht="11.1" customHeight="1">
      <c r="C24" s="8"/>
      <c r="D24" s="4" t="s">
        <v>41</v>
      </c>
      <c r="E24" s="4" t="s">
        <v>96</v>
      </c>
      <c r="F24" s="4" t="s">
        <v>97</v>
      </c>
      <c r="G24" s="4" t="s">
        <v>44</v>
      </c>
      <c r="H24" s="4" t="s">
        <v>98</v>
      </c>
      <c r="J24" s="4" t="s">
        <v>99</v>
      </c>
      <c r="K24" s="4" t="s">
        <v>47</v>
      </c>
      <c r="M24" s="4" t="s">
        <v>100</v>
      </c>
      <c r="N24" s="4" t="s">
        <v>101</v>
      </c>
      <c r="P24" s="4" t="s">
        <v>102</v>
      </c>
      <c r="Q24" s="9" t="s">
        <v>103</v>
      </c>
    </row>
    <row r="25" spans="3:17" ht="11.1" customHeight="1">
      <c r="C25" s="8"/>
      <c r="Q25" s="9"/>
    </row>
    <row r="26" spans="3:17" ht="11.1" customHeight="1">
      <c r="C26" s="8" t="s">
        <v>104</v>
      </c>
      <c r="D26" s="4" t="s">
        <v>105</v>
      </c>
      <c r="E26" s="4" t="s">
        <v>106</v>
      </c>
      <c r="F26" s="4" t="s">
        <v>107</v>
      </c>
      <c r="G26" s="4" t="s">
        <v>26</v>
      </c>
      <c r="H26" s="4" t="s">
        <v>108</v>
      </c>
      <c r="J26" s="4" t="s">
        <v>109</v>
      </c>
      <c r="K26" s="4" t="s">
        <v>36</v>
      </c>
      <c r="N26" s="4" t="s">
        <v>110</v>
      </c>
      <c r="O26" s="4" t="s">
        <v>111</v>
      </c>
      <c r="Q26" s="9"/>
    </row>
    <row r="27" spans="3:17" ht="11.1" customHeight="1">
      <c r="C27" s="8"/>
      <c r="D27" s="4" t="s">
        <v>33</v>
      </c>
      <c r="E27" s="4" t="s">
        <v>112</v>
      </c>
      <c r="F27" s="4" t="s">
        <v>113</v>
      </c>
      <c r="G27" s="4" t="s">
        <v>36</v>
      </c>
      <c r="H27" s="4" t="s">
        <v>36</v>
      </c>
      <c r="J27" s="4" t="s">
        <v>114</v>
      </c>
      <c r="K27" s="4" t="s">
        <v>38</v>
      </c>
      <c r="M27" s="4" t="s">
        <v>115</v>
      </c>
      <c r="N27" s="4" t="s">
        <v>110</v>
      </c>
      <c r="P27" s="4" t="s">
        <v>116</v>
      </c>
      <c r="Q27" s="9" t="s">
        <v>117</v>
      </c>
    </row>
    <row r="28" spans="3:17" ht="11.1" customHeight="1">
      <c r="C28" s="8"/>
      <c r="Q28" s="9"/>
    </row>
    <row r="29" spans="3:17" ht="11.1" customHeight="1">
      <c r="C29" s="8" t="s">
        <v>48</v>
      </c>
      <c r="D29" s="4" t="s">
        <v>41</v>
      </c>
      <c r="E29" s="4" t="s">
        <v>42</v>
      </c>
      <c r="F29" s="4" t="s">
        <v>118</v>
      </c>
      <c r="G29" s="4" t="s">
        <v>26</v>
      </c>
      <c r="H29" s="4" t="s">
        <v>119</v>
      </c>
      <c r="J29" s="4" t="s">
        <v>43</v>
      </c>
      <c r="K29" s="4" t="s">
        <v>44</v>
      </c>
      <c r="N29" s="4" t="s">
        <v>32</v>
      </c>
      <c r="O29" s="4" t="s">
        <v>120</v>
      </c>
      <c r="Q29" s="9"/>
    </row>
    <row r="30" spans="3:17" ht="11.1" customHeight="1">
      <c r="C30" s="8"/>
      <c r="D30" s="4" t="s">
        <v>41</v>
      </c>
      <c r="E30" s="4" t="s">
        <v>121</v>
      </c>
      <c r="F30" s="4" t="s">
        <v>122</v>
      </c>
      <c r="G30" s="4" t="s">
        <v>47</v>
      </c>
      <c r="H30" s="4" t="s">
        <v>119</v>
      </c>
      <c r="J30" s="4" t="s">
        <v>123</v>
      </c>
      <c r="K30" s="4" t="s">
        <v>47</v>
      </c>
      <c r="M30" s="4" t="s">
        <v>124</v>
      </c>
      <c r="N30" s="4" t="s">
        <v>125</v>
      </c>
      <c r="P30" s="4" t="s">
        <v>126</v>
      </c>
      <c r="Q30" s="9" t="s">
        <v>127</v>
      </c>
    </row>
    <row r="31" spans="3:17" ht="11.1" customHeight="1">
      <c r="C31" s="8"/>
      <c r="Q31" s="9"/>
    </row>
    <row r="32" spans="3:17" ht="11.1" customHeight="1">
      <c r="C32" s="8" t="s">
        <v>92</v>
      </c>
      <c r="D32" s="4" t="s">
        <v>53</v>
      </c>
      <c r="E32" s="4" t="s">
        <v>88</v>
      </c>
      <c r="F32" s="4" t="s">
        <v>128</v>
      </c>
      <c r="G32" s="4" t="s">
        <v>26</v>
      </c>
      <c r="H32" s="4" t="s">
        <v>36</v>
      </c>
      <c r="J32" s="4" t="s">
        <v>89</v>
      </c>
      <c r="K32" s="4" t="s">
        <v>44</v>
      </c>
      <c r="N32" s="4" t="s">
        <v>80</v>
      </c>
      <c r="O32" s="4" t="s">
        <v>129</v>
      </c>
      <c r="Q32" s="9"/>
    </row>
    <row r="33" spans="3:17" ht="11.1" customHeight="1">
      <c r="C33" s="8"/>
      <c r="D33" s="4" t="s">
        <v>87</v>
      </c>
      <c r="E33" s="4" t="s">
        <v>130</v>
      </c>
      <c r="F33" s="4" t="s">
        <v>131</v>
      </c>
      <c r="G33" s="4" t="s">
        <v>47</v>
      </c>
      <c r="H33" s="4" t="s">
        <v>132</v>
      </c>
      <c r="J33" s="4" t="s">
        <v>133</v>
      </c>
      <c r="K33" s="4" t="s">
        <v>47</v>
      </c>
      <c r="M33" s="4" t="s">
        <v>134</v>
      </c>
      <c r="N33" s="4" t="s">
        <v>135</v>
      </c>
      <c r="P33" s="4" t="s">
        <v>136</v>
      </c>
      <c r="Q33" s="9" t="s">
        <v>137</v>
      </c>
    </row>
    <row r="34" spans="3:17" ht="11.1" customHeight="1">
      <c r="C34" s="8"/>
      <c r="Q34" s="9"/>
    </row>
    <row r="35" spans="3:17" ht="11.1" customHeight="1">
      <c r="C35" s="8" t="s">
        <v>76</v>
      </c>
      <c r="D35" s="4" t="s">
        <v>138</v>
      </c>
      <c r="E35" s="4" t="s">
        <v>73</v>
      </c>
      <c r="F35" s="4" t="s">
        <v>139</v>
      </c>
      <c r="G35" s="4" t="s">
        <v>26</v>
      </c>
      <c r="H35" s="4" t="s">
        <v>140</v>
      </c>
      <c r="J35" s="4" t="s">
        <v>74</v>
      </c>
      <c r="K35" s="4" t="s">
        <v>36</v>
      </c>
      <c r="N35" s="4" t="s">
        <v>66</v>
      </c>
      <c r="O35" s="4" t="s">
        <v>141</v>
      </c>
      <c r="Q35" s="9"/>
    </row>
    <row r="36" spans="3:17" ht="11.1" customHeight="1">
      <c r="C36" s="8"/>
      <c r="D36" s="4" t="s">
        <v>142</v>
      </c>
      <c r="E36" s="4" t="s">
        <v>143</v>
      </c>
      <c r="F36" s="4" t="s">
        <v>144</v>
      </c>
      <c r="G36" s="4" t="s">
        <v>69</v>
      </c>
      <c r="H36" s="4" t="s">
        <v>69</v>
      </c>
      <c r="J36" s="4" t="s">
        <v>145</v>
      </c>
      <c r="K36" s="4" t="s">
        <v>69</v>
      </c>
      <c r="M36" s="4" t="s">
        <v>146</v>
      </c>
      <c r="N36" s="4" t="s">
        <v>147</v>
      </c>
      <c r="P36" s="4" t="s">
        <v>99</v>
      </c>
      <c r="Q36" s="9" t="s">
        <v>148</v>
      </c>
    </row>
    <row r="37" spans="3:17" ht="11.1" customHeight="1">
      <c r="C37" s="8"/>
      <c r="Q37" s="9"/>
    </row>
    <row r="38" spans="3:17" ht="11.1" customHeight="1">
      <c r="C38" s="8" t="s">
        <v>134</v>
      </c>
      <c r="D38" s="4" t="s">
        <v>87</v>
      </c>
      <c r="E38" s="4" t="s">
        <v>130</v>
      </c>
      <c r="F38" s="4" t="s">
        <v>149</v>
      </c>
      <c r="G38" s="4" t="s">
        <v>26</v>
      </c>
      <c r="H38" s="4" t="s">
        <v>47</v>
      </c>
      <c r="J38" s="4" t="s">
        <v>131</v>
      </c>
      <c r="K38" s="4" t="s">
        <v>47</v>
      </c>
      <c r="N38" s="4" t="s">
        <v>92</v>
      </c>
      <c r="O38" s="4" t="s">
        <v>150</v>
      </c>
      <c r="Q38" s="9"/>
    </row>
    <row r="39" spans="3:17" ht="11.1" customHeight="1">
      <c r="C39" s="8"/>
      <c r="D39" s="4" t="s">
        <v>81</v>
      </c>
      <c r="E39" s="4" t="s">
        <v>151</v>
      </c>
      <c r="F39" s="4" t="s">
        <v>152</v>
      </c>
      <c r="G39" s="4" t="s">
        <v>47</v>
      </c>
      <c r="H39" s="4" t="s">
        <v>153</v>
      </c>
      <c r="J39" s="4" t="s">
        <v>50</v>
      </c>
      <c r="K39" s="4" t="s">
        <v>44</v>
      </c>
      <c r="M39" s="4" t="s">
        <v>154</v>
      </c>
      <c r="N39" s="4" t="s">
        <v>155</v>
      </c>
      <c r="P39" s="4" t="s">
        <v>156</v>
      </c>
      <c r="Q39" s="9" t="s">
        <v>157</v>
      </c>
    </row>
    <row r="40" spans="3:17" ht="11.1" customHeight="1">
      <c r="C40" s="8"/>
      <c r="Q40" s="9"/>
    </row>
    <row r="41" spans="3:17" ht="11.1" customHeight="1">
      <c r="C41" s="8" t="s">
        <v>158</v>
      </c>
      <c r="D41" s="4" t="s">
        <v>159</v>
      </c>
      <c r="E41" s="4" t="s">
        <v>160</v>
      </c>
      <c r="F41" s="4" t="s">
        <v>161</v>
      </c>
      <c r="G41" s="4" t="s">
        <v>26</v>
      </c>
      <c r="H41" s="4" t="s">
        <v>162</v>
      </c>
      <c r="J41" s="4" t="s">
        <v>163</v>
      </c>
      <c r="K41" s="4" t="s">
        <v>162</v>
      </c>
      <c r="N41" s="4" t="s">
        <v>164</v>
      </c>
      <c r="O41" s="4" t="s">
        <v>165</v>
      </c>
      <c r="P41" s="4" t="s">
        <v>166</v>
      </c>
      <c r="Q41" s="9" t="s">
        <v>167</v>
      </c>
    </row>
    <row r="42" spans="3:17" ht="11.1" customHeight="1">
      <c r="C42" s="8"/>
      <c r="Q42" s="9"/>
    </row>
    <row r="43" spans="3:17" ht="11.1" customHeight="1">
      <c r="C43" s="8" t="s">
        <v>168</v>
      </c>
      <c r="D43" s="4" t="s">
        <v>138</v>
      </c>
      <c r="E43" s="4" t="s">
        <v>169</v>
      </c>
      <c r="F43" s="4" t="s">
        <v>170</v>
      </c>
      <c r="G43" s="4" t="s">
        <v>26</v>
      </c>
      <c r="H43" s="4" t="s">
        <v>140</v>
      </c>
      <c r="J43" s="4" t="s">
        <v>171</v>
      </c>
      <c r="K43" s="4" t="s">
        <v>36</v>
      </c>
      <c r="N43" s="4" t="s">
        <v>172</v>
      </c>
      <c r="O43" s="4" t="s">
        <v>173</v>
      </c>
      <c r="Q43" s="9"/>
    </row>
    <row r="44" spans="3:17" ht="11.1" customHeight="1">
      <c r="C44" s="8"/>
      <c r="D44" s="4" t="s">
        <v>33</v>
      </c>
      <c r="E44" s="4" t="s">
        <v>174</v>
      </c>
      <c r="F44" s="4" t="s">
        <v>175</v>
      </c>
      <c r="G44" s="4" t="s">
        <v>36</v>
      </c>
      <c r="H44" s="4" t="s">
        <v>36</v>
      </c>
      <c r="J44" s="4" t="s">
        <v>176</v>
      </c>
      <c r="K44" s="4" t="s">
        <v>38</v>
      </c>
      <c r="M44" s="4" t="s">
        <v>177</v>
      </c>
      <c r="N44" s="4" t="s">
        <v>178</v>
      </c>
      <c r="P44" s="4" t="s">
        <v>179</v>
      </c>
      <c r="Q44" s="9" t="s">
        <v>180</v>
      </c>
    </row>
    <row r="45" spans="3:17" ht="11.1" customHeight="1">
      <c r="C45" s="8"/>
      <c r="Q45" s="9"/>
    </row>
    <row r="46" spans="3:17" ht="11.1" customHeight="1">
      <c r="C46" s="8" t="s">
        <v>100</v>
      </c>
      <c r="D46" s="4" t="s">
        <v>41</v>
      </c>
      <c r="E46" s="4" t="s">
        <v>96</v>
      </c>
      <c r="F46" s="4" t="s">
        <v>181</v>
      </c>
      <c r="G46" s="4" t="s">
        <v>26</v>
      </c>
      <c r="H46" s="4" t="s">
        <v>182</v>
      </c>
      <c r="J46" s="4" t="s">
        <v>97</v>
      </c>
      <c r="K46" s="4" t="s">
        <v>44</v>
      </c>
      <c r="N46" s="4" t="s">
        <v>62</v>
      </c>
      <c r="O46" s="4" t="s">
        <v>183</v>
      </c>
      <c r="Q46" s="9"/>
    </row>
    <row r="47" spans="3:17" ht="11.1" customHeight="1">
      <c r="C47" s="8"/>
      <c r="D47" s="4" t="s">
        <v>138</v>
      </c>
      <c r="E47" s="4" t="s">
        <v>34</v>
      </c>
      <c r="F47" s="4" t="s">
        <v>184</v>
      </c>
      <c r="G47" s="4" t="s">
        <v>38</v>
      </c>
      <c r="H47" s="4" t="s">
        <v>38</v>
      </c>
      <c r="J47" s="4" t="s">
        <v>185</v>
      </c>
      <c r="K47" s="4" t="s">
        <v>38</v>
      </c>
      <c r="M47" s="4" t="s">
        <v>39</v>
      </c>
      <c r="N47" s="4" t="s">
        <v>186</v>
      </c>
      <c r="P47" s="4" t="s">
        <v>187</v>
      </c>
      <c r="Q47" s="9" t="s">
        <v>188</v>
      </c>
    </row>
    <row r="48" spans="3:17" ht="11.1" customHeight="1">
      <c r="C48" s="8"/>
      <c r="Q48" s="9"/>
    </row>
    <row r="49" spans="3:17" ht="11.1" customHeight="1">
      <c r="C49" s="8" t="s">
        <v>115</v>
      </c>
      <c r="D49" s="4" t="s">
        <v>138</v>
      </c>
      <c r="E49" s="4" t="s">
        <v>112</v>
      </c>
      <c r="F49" s="4" t="s">
        <v>189</v>
      </c>
      <c r="G49" s="4" t="s">
        <v>26</v>
      </c>
      <c r="H49" s="4" t="s">
        <v>140</v>
      </c>
      <c r="J49" s="4" t="s">
        <v>113</v>
      </c>
      <c r="K49" s="4" t="s">
        <v>36</v>
      </c>
      <c r="N49" s="4" t="s">
        <v>104</v>
      </c>
      <c r="O49" s="4" t="s">
        <v>190</v>
      </c>
      <c r="Q49" s="9"/>
    </row>
    <row r="50" spans="3:17" ht="11.1" customHeight="1">
      <c r="C50" s="8"/>
      <c r="D50" s="4" t="s">
        <v>33</v>
      </c>
      <c r="E50" s="4" t="s">
        <v>67</v>
      </c>
      <c r="F50" s="4" t="s">
        <v>191</v>
      </c>
      <c r="G50" s="4" t="s">
        <v>36</v>
      </c>
      <c r="H50" s="4" t="s">
        <v>36</v>
      </c>
      <c r="J50" s="4" t="s">
        <v>192</v>
      </c>
      <c r="K50" s="4" t="s">
        <v>36</v>
      </c>
      <c r="M50" s="4" t="s">
        <v>71</v>
      </c>
      <c r="N50" s="4" t="s">
        <v>193</v>
      </c>
      <c r="P50" s="4" t="s">
        <v>194</v>
      </c>
      <c r="Q50" s="9" t="s">
        <v>195</v>
      </c>
    </row>
    <row r="51" spans="3:17" ht="11.1" customHeight="1">
      <c r="C51" s="8"/>
      <c r="Q51" s="9"/>
    </row>
    <row r="52" spans="3:17" ht="11.1" customHeight="1">
      <c r="C52" s="8" t="s">
        <v>146</v>
      </c>
      <c r="D52" s="4" t="s">
        <v>142</v>
      </c>
      <c r="E52" s="4" t="s">
        <v>143</v>
      </c>
      <c r="F52" s="4" t="s">
        <v>196</v>
      </c>
      <c r="G52" s="4" t="s">
        <v>26</v>
      </c>
      <c r="H52" s="4" t="s">
        <v>36</v>
      </c>
      <c r="J52" s="4" t="s">
        <v>144</v>
      </c>
      <c r="K52" s="4" t="s">
        <v>69</v>
      </c>
      <c r="N52" s="4" t="s">
        <v>76</v>
      </c>
      <c r="O52" s="4" t="s">
        <v>197</v>
      </c>
      <c r="Q52" s="9"/>
    </row>
    <row r="53" spans="3:17" ht="11.1" customHeight="1">
      <c r="C53" s="8"/>
      <c r="D53" s="4" t="s">
        <v>33</v>
      </c>
      <c r="E53" s="4" t="s">
        <v>198</v>
      </c>
      <c r="F53" s="4" t="s">
        <v>199</v>
      </c>
      <c r="G53" s="4" t="s">
        <v>36</v>
      </c>
      <c r="H53" s="4" t="s">
        <v>36</v>
      </c>
      <c r="J53" s="4" t="s">
        <v>200</v>
      </c>
      <c r="K53" s="4" t="s">
        <v>38</v>
      </c>
      <c r="M53" s="4" t="s">
        <v>201</v>
      </c>
      <c r="N53" s="4" t="s">
        <v>202</v>
      </c>
      <c r="P53" s="4" t="s">
        <v>192</v>
      </c>
      <c r="Q53" s="9" t="s">
        <v>89</v>
      </c>
    </row>
    <row r="54" spans="3:17" ht="11.1" customHeight="1">
      <c r="C54" s="8"/>
      <c r="Q54" s="9"/>
    </row>
    <row r="55" spans="3:17" ht="11.1" customHeight="1">
      <c r="C55" s="8" t="s">
        <v>177</v>
      </c>
      <c r="D55" s="4" t="s">
        <v>33</v>
      </c>
      <c r="E55" s="4" t="s">
        <v>174</v>
      </c>
      <c r="F55" s="4" t="s">
        <v>203</v>
      </c>
      <c r="G55" s="4" t="s">
        <v>26</v>
      </c>
      <c r="H55" s="4" t="s">
        <v>38</v>
      </c>
      <c r="J55" s="4" t="s">
        <v>175</v>
      </c>
      <c r="K55" s="4" t="s">
        <v>36</v>
      </c>
      <c r="N55" s="4" t="s">
        <v>168</v>
      </c>
      <c r="O55" s="4" t="s">
        <v>204</v>
      </c>
      <c r="Q55" s="9"/>
    </row>
    <row r="56" spans="3:17" ht="11.1" customHeight="1">
      <c r="C56" s="8"/>
      <c r="D56" s="4" t="s">
        <v>105</v>
      </c>
      <c r="E56" s="4" t="s">
        <v>106</v>
      </c>
      <c r="F56" s="4" t="s">
        <v>205</v>
      </c>
      <c r="G56" s="4" t="s">
        <v>36</v>
      </c>
      <c r="H56" s="4" t="s">
        <v>36</v>
      </c>
      <c r="J56" s="4" t="s">
        <v>206</v>
      </c>
      <c r="K56" s="4" t="s">
        <v>36</v>
      </c>
      <c r="M56" s="4" t="s">
        <v>110</v>
      </c>
      <c r="N56" s="4" t="s">
        <v>207</v>
      </c>
      <c r="P56" s="4" t="s">
        <v>208</v>
      </c>
      <c r="Q56" s="9" t="s">
        <v>209</v>
      </c>
    </row>
    <row r="57" spans="3:17" ht="11.1" customHeight="1">
      <c r="C57" s="8"/>
      <c r="Q57" s="9"/>
    </row>
    <row r="58" spans="3:17" ht="11.1" customHeight="1">
      <c r="C58" s="8" t="s">
        <v>124</v>
      </c>
      <c r="D58" s="4" t="s">
        <v>41</v>
      </c>
      <c r="E58" s="4" t="s">
        <v>121</v>
      </c>
      <c r="F58" s="4" t="s">
        <v>210</v>
      </c>
      <c r="G58" s="4" t="s">
        <v>26</v>
      </c>
      <c r="H58" s="4" t="s">
        <v>119</v>
      </c>
      <c r="J58" s="4" t="s">
        <v>122</v>
      </c>
      <c r="K58" s="4" t="s">
        <v>47</v>
      </c>
      <c r="N58" s="4" t="s">
        <v>48</v>
      </c>
      <c r="O58" s="4" t="s">
        <v>211</v>
      </c>
      <c r="Q58" s="9"/>
    </row>
    <row r="59" spans="3:17" ht="11.1" customHeight="1">
      <c r="C59" s="8"/>
      <c r="D59" s="4" t="s">
        <v>87</v>
      </c>
      <c r="E59" s="4" t="s">
        <v>212</v>
      </c>
      <c r="F59" s="4" t="s">
        <v>213</v>
      </c>
      <c r="G59" s="4" t="s">
        <v>47</v>
      </c>
      <c r="H59" s="4" t="s">
        <v>132</v>
      </c>
      <c r="J59" s="4" t="s">
        <v>214</v>
      </c>
      <c r="K59" s="4" t="s">
        <v>47</v>
      </c>
      <c r="M59" s="4" t="s">
        <v>215</v>
      </c>
      <c r="N59" s="4" t="s">
        <v>216</v>
      </c>
      <c r="P59" s="4" t="s">
        <v>217</v>
      </c>
      <c r="Q59" s="9" t="s">
        <v>218</v>
      </c>
    </row>
    <row r="60" spans="3:17" ht="11.1" customHeight="1">
      <c r="C60" s="8"/>
      <c r="Q60" s="9"/>
    </row>
    <row r="61" spans="3:17" ht="11.1" customHeight="1">
      <c r="C61" s="8" t="s">
        <v>201</v>
      </c>
      <c r="D61" s="4" t="s">
        <v>33</v>
      </c>
      <c r="E61" s="4" t="s">
        <v>198</v>
      </c>
      <c r="F61" s="4" t="s">
        <v>219</v>
      </c>
      <c r="G61" s="4" t="s">
        <v>26</v>
      </c>
      <c r="H61" s="4" t="s">
        <v>36</v>
      </c>
      <c r="J61" s="4" t="s">
        <v>199</v>
      </c>
      <c r="K61" s="4" t="s">
        <v>36</v>
      </c>
      <c r="N61" s="4" t="s">
        <v>146</v>
      </c>
      <c r="O61" s="4" t="s">
        <v>220</v>
      </c>
      <c r="Q61" s="9"/>
    </row>
    <row r="62" spans="3:17" ht="11.1" customHeight="1">
      <c r="C62" s="8"/>
      <c r="D62" s="4" t="s">
        <v>33</v>
      </c>
      <c r="E62" s="4" t="s">
        <v>169</v>
      </c>
      <c r="F62" s="4" t="s">
        <v>221</v>
      </c>
      <c r="G62" s="4" t="s">
        <v>36</v>
      </c>
      <c r="H62" s="4" t="s">
        <v>36</v>
      </c>
      <c r="J62" s="4" t="s">
        <v>222</v>
      </c>
      <c r="K62" s="4" t="s">
        <v>36</v>
      </c>
      <c r="M62" s="4" t="s">
        <v>172</v>
      </c>
      <c r="N62" s="4" t="s">
        <v>223</v>
      </c>
      <c r="P62" s="4" t="s">
        <v>224</v>
      </c>
      <c r="Q62" s="9" t="s">
        <v>180</v>
      </c>
    </row>
    <row r="63" spans="3:17" ht="11.1" customHeight="1">
      <c r="C63" s="8"/>
      <c r="Q63" s="9"/>
    </row>
    <row r="64" spans="3:17" ht="11.1" customHeight="1">
      <c r="C64" s="8" t="s">
        <v>39</v>
      </c>
      <c r="D64" s="4" t="s">
        <v>53</v>
      </c>
      <c r="E64" s="4" t="s">
        <v>225</v>
      </c>
      <c r="F64" s="4" t="s">
        <v>226</v>
      </c>
      <c r="G64" s="4" t="s">
        <v>26</v>
      </c>
      <c r="H64" s="4" t="s">
        <v>36</v>
      </c>
      <c r="J64" s="4" t="s">
        <v>227</v>
      </c>
      <c r="K64" s="4" t="s">
        <v>26</v>
      </c>
      <c r="O64" s="4" t="s">
        <v>228</v>
      </c>
      <c r="Q64" s="9"/>
    </row>
    <row r="65" spans="1:18" ht="11.1" customHeight="1">
      <c r="C65" s="8"/>
      <c r="D65" s="4" t="s">
        <v>138</v>
      </c>
      <c r="E65" s="4" t="s">
        <v>34</v>
      </c>
      <c r="F65" s="4" t="s">
        <v>37</v>
      </c>
      <c r="G65" s="4" t="s">
        <v>38</v>
      </c>
      <c r="H65" s="4" t="s">
        <v>38</v>
      </c>
      <c r="J65" s="4" t="s">
        <v>184</v>
      </c>
      <c r="K65" s="4" t="s">
        <v>38</v>
      </c>
      <c r="M65" s="4" t="s">
        <v>32</v>
      </c>
      <c r="N65" s="4" t="s">
        <v>100</v>
      </c>
      <c r="Q65" s="9"/>
    </row>
    <row r="66" spans="1:18" ht="11.1" customHeight="1">
      <c r="C66" s="8"/>
      <c r="D66" s="4" t="s">
        <v>81</v>
      </c>
      <c r="E66" s="4" t="s">
        <v>82</v>
      </c>
      <c r="F66" s="4" t="s">
        <v>229</v>
      </c>
      <c r="G66" s="4" t="s">
        <v>47</v>
      </c>
      <c r="H66" s="4" t="s">
        <v>153</v>
      </c>
      <c r="J66" s="4" t="s">
        <v>230</v>
      </c>
      <c r="K66" s="4" t="s">
        <v>47</v>
      </c>
      <c r="M66" s="4" t="s">
        <v>85</v>
      </c>
      <c r="N66" s="4" t="s">
        <v>71</v>
      </c>
      <c r="P66" s="4" t="s">
        <v>231</v>
      </c>
      <c r="Q66" s="9" t="s">
        <v>232</v>
      </c>
    </row>
    <row r="67" spans="1:18" ht="11.1" customHeight="1">
      <c r="C67" s="8"/>
      <c r="Q67" s="9"/>
    </row>
    <row r="68" spans="1:18" ht="11.1" customHeight="1">
      <c r="C68" s="8" t="s">
        <v>93</v>
      </c>
      <c r="D68" s="4" t="s">
        <v>233</v>
      </c>
      <c r="E68" s="4" t="s">
        <v>234</v>
      </c>
      <c r="F68" s="4" t="s">
        <v>235</v>
      </c>
      <c r="G68" s="4" t="s">
        <v>26</v>
      </c>
      <c r="H68" s="4" t="s">
        <v>38</v>
      </c>
      <c r="J68" s="4" t="s">
        <v>236</v>
      </c>
      <c r="K68" s="4" t="s">
        <v>38</v>
      </c>
      <c r="N68" s="4" t="s">
        <v>154</v>
      </c>
      <c r="O68" s="4" t="s">
        <v>237</v>
      </c>
      <c r="Q68" s="9"/>
    </row>
    <row r="69" spans="1:18" ht="11.1" customHeight="1">
      <c r="C69" s="8"/>
      <c r="D69" s="4" t="s">
        <v>87</v>
      </c>
      <c r="E69" s="4" t="s">
        <v>88</v>
      </c>
      <c r="F69" s="4" t="s">
        <v>91</v>
      </c>
      <c r="G69" s="4" t="s">
        <v>44</v>
      </c>
      <c r="H69" s="4" t="s">
        <v>90</v>
      </c>
      <c r="J69" s="4" t="s">
        <v>231</v>
      </c>
      <c r="K69" s="4" t="s">
        <v>44</v>
      </c>
      <c r="M69" s="4" t="s">
        <v>80</v>
      </c>
      <c r="N69" s="4" t="s">
        <v>238</v>
      </c>
      <c r="P69" s="4" t="s">
        <v>239</v>
      </c>
      <c r="Q69" s="9" t="s">
        <v>79</v>
      </c>
    </row>
    <row r="70" spans="1:18" ht="11.1" customHeight="1">
      <c r="C70" s="8"/>
      <c r="Q70" s="9"/>
    </row>
    <row r="71" spans="1:18" ht="11.1" customHeight="1">
      <c r="C71" s="8" t="s">
        <v>154</v>
      </c>
      <c r="D71" s="4" t="s">
        <v>81</v>
      </c>
      <c r="E71" s="4" t="s">
        <v>151</v>
      </c>
      <c r="F71" s="4" t="s">
        <v>240</v>
      </c>
      <c r="G71" s="4" t="s">
        <v>26</v>
      </c>
      <c r="H71" s="4" t="s">
        <v>241</v>
      </c>
      <c r="J71" s="4" t="s">
        <v>152</v>
      </c>
      <c r="K71" s="4" t="s">
        <v>47</v>
      </c>
      <c r="N71" s="4" t="s">
        <v>134</v>
      </c>
      <c r="O71" s="4" t="s">
        <v>242</v>
      </c>
      <c r="Q71" s="9"/>
    </row>
    <row r="72" spans="1:18" ht="11.1" customHeight="1">
      <c r="C72" s="8"/>
      <c r="D72" s="4" t="s">
        <v>233</v>
      </c>
      <c r="E72" s="4" t="s">
        <v>234</v>
      </c>
      <c r="F72" s="4" t="s">
        <v>236</v>
      </c>
      <c r="G72" s="4" t="s">
        <v>38</v>
      </c>
      <c r="H72" s="4" t="s">
        <v>38</v>
      </c>
      <c r="J72" s="4" t="s">
        <v>243</v>
      </c>
      <c r="K72" s="4" t="s">
        <v>38</v>
      </c>
      <c r="M72" s="4" t="s">
        <v>93</v>
      </c>
      <c r="N72" s="4" t="s">
        <v>244</v>
      </c>
      <c r="P72" s="4" t="s">
        <v>245</v>
      </c>
      <c r="Q72" s="9" t="s">
        <v>246</v>
      </c>
    </row>
    <row r="73" spans="1:18" ht="11.1" customHeight="1">
      <c r="C73" s="5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7"/>
    </row>
    <row r="74" spans="1:18" s="2" customFormat="1" ht="11.1" customHeight="1">
      <c r="A74" s="1"/>
      <c r="B74" s="1"/>
      <c r="C74" s="113" t="s">
        <v>11</v>
      </c>
      <c r="D74" s="114"/>
      <c r="E74" s="114"/>
      <c r="F74" s="115"/>
      <c r="G74" s="113" t="s">
        <v>1064</v>
      </c>
      <c r="H74" s="114"/>
      <c r="I74" s="114"/>
      <c r="J74" s="114"/>
      <c r="K74" s="114"/>
      <c r="L74" s="114"/>
      <c r="M74" s="114"/>
      <c r="N74" s="114"/>
      <c r="O74" s="115"/>
      <c r="P74" s="41" t="s">
        <v>19</v>
      </c>
      <c r="Q74" s="42">
        <v>2</v>
      </c>
    </row>
    <row r="75" spans="1:18" s="2" customFormat="1" ht="11.1" customHeight="1">
      <c r="A75" s="1"/>
      <c r="B75" s="1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</row>
    <row r="76" spans="1:18" s="2" customFormat="1" ht="11.1" customHeight="1">
      <c r="A76" s="1"/>
      <c r="B76" s="1"/>
      <c r="C76" s="122" t="s">
        <v>18</v>
      </c>
      <c r="D76" s="122"/>
      <c r="E76" s="122"/>
      <c r="F76" s="122"/>
      <c r="G76" s="113" t="s">
        <v>1067</v>
      </c>
      <c r="H76" s="114"/>
      <c r="I76" s="114"/>
      <c r="J76" s="114"/>
      <c r="K76" s="114"/>
      <c r="L76" s="114"/>
      <c r="M76" s="114"/>
      <c r="N76" s="115"/>
      <c r="O76" s="113" t="s">
        <v>22</v>
      </c>
      <c r="P76" s="123"/>
      <c r="Q76" s="115"/>
    </row>
    <row r="77" spans="1:18" ht="11.1" customHeight="1"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</row>
    <row r="78" spans="1:18" ht="11.1" customHeight="1">
      <c r="B78" s="3" t="s">
        <v>9</v>
      </c>
      <c r="C78" s="45" t="s">
        <v>0</v>
      </c>
      <c r="D78" s="46" t="s">
        <v>1</v>
      </c>
      <c r="E78" s="46" t="s">
        <v>3</v>
      </c>
      <c r="F78" s="46" t="s">
        <v>12</v>
      </c>
      <c r="G78" s="46" t="s">
        <v>14</v>
      </c>
      <c r="H78" s="46" t="s">
        <v>15</v>
      </c>
      <c r="I78" s="46"/>
      <c r="J78" s="46" t="s">
        <v>16</v>
      </c>
      <c r="K78" s="46" t="s">
        <v>14</v>
      </c>
      <c r="L78" s="46"/>
      <c r="M78" s="46" t="s">
        <v>4</v>
      </c>
      <c r="N78" s="46" t="s">
        <v>6</v>
      </c>
      <c r="O78" s="46" t="s">
        <v>0</v>
      </c>
      <c r="P78" s="46" t="s">
        <v>0</v>
      </c>
      <c r="Q78" s="47" t="s">
        <v>21</v>
      </c>
      <c r="R78" s="4" t="s">
        <v>10</v>
      </c>
    </row>
    <row r="79" spans="1:18" ht="11.1" customHeight="1">
      <c r="C79" s="48" t="s">
        <v>2</v>
      </c>
      <c r="D79" s="49"/>
      <c r="E79" s="49"/>
      <c r="F79" s="49" t="s">
        <v>13</v>
      </c>
      <c r="G79" s="49"/>
      <c r="H79" s="49"/>
      <c r="I79" s="49"/>
      <c r="J79" s="49" t="s">
        <v>13</v>
      </c>
      <c r="K79" s="49"/>
      <c r="L79" s="49"/>
      <c r="M79" s="49" t="s">
        <v>5</v>
      </c>
      <c r="N79" s="49" t="s">
        <v>5</v>
      </c>
      <c r="O79" s="49" t="s">
        <v>7</v>
      </c>
      <c r="P79" s="49" t="s">
        <v>8</v>
      </c>
      <c r="Q79" s="50" t="s">
        <v>17</v>
      </c>
    </row>
    <row r="80" spans="1:18" ht="11.1" customHeight="1">
      <c r="C80" s="8" t="s">
        <v>77</v>
      </c>
      <c r="D80" s="4" t="s">
        <v>81</v>
      </c>
      <c r="E80" s="4" t="s">
        <v>247</v>
      </c>
      <c r="F80" s="4" t="s">
        <v>248</v>
      </c>
      <c r="G80" s="4" t="s">
        <v>26</v>
      </c>
      <c r="H80" s="4" t="s">
        <v>241</v>
      </c>
      <c r="J80" s="4" t="s">
        <v>249</v>
      </c>
      <c r="K80" s="4" t="s">
        <v>26</v>
      </c>
      <c r="O80" s="4" t="s">
        <v>250</v>
      </c>
      <c r="P80" s="4" t="s">
        <v>180</v>
      </c>
      <c r="Q80" s="9" t="s">
        <v>251</v>
      </c>
    </row>
    <row r="81" spans="1:17" ht="11.1" customHeight="1">
      <c r="C81" s="8"/>
      <c r="D81" s="4" t="s">
        <v>138</v>
      </c>
      <c r="E81" s="4" t="s">
        <v>73</v>
      </c>
      <c r="F81" s="4" t="s">
        <v>75</v>
      </c>
      <c r="G81" s="4" t="s">
        <v>38</v>
      </c>
      <c r="H81" s="4" t="s">
        <v>38</v>
      </c>
      <c r="J81" s="4" t="s">
        <v>252</v>
      </c>
      <c r="K81" s="4" t="s">
        <v>36</v>
      </c>
      <c r="M81" s="4" t="s">
        <v>66</v>
      </c>
      <c r="N81" s="4" t="s">
        <v>253</v>
      </c>
      <c r="O81" s="4" t="s">
        <v>254</v>
      </c>
      <c r="P81" s="4" t="s">
        <v>255</v>
      </c>
      <c r="Q81" s="9" t="s">
        <v>256</v>
      </c>
    </row>
    <row r="82" spans="1:17" ht="11.1" customHeight="1">
      <c r="A82" s="3" t="s">
        <v>20</v>
      </c>
      <c r="C82" s="10"/>
      <c r="Q82" s="9" t="s">
        <v>257</v>
      </c>
    </row>
    <row r="83" spans="1:17" ht="11.1" customHeight="1">
      <c r="C83" s="8"/>
      <c r="Q83" s="9"/>
    </row>
    <row r="84" spans="1:17" ht="11.1" customHeight="1">
      <c r="C84" s="8" t="s">
        <v>258</v>
      </c>
      <c r="D84" s="4" t="s">
        <v>233</v>
      </c>
      <c r="E84" s="4" t="s">
        <v>259</v>
      </c>
      <c r="F84" s="4" t="s">
        <v>181</v>
      </c>
      <c r="G84" s="4" t="s">
        <v>26</v>
      </c>
      <c r="H84" s="4" t="s">
        <v>260</v>
      </c>
      <c r="J84" s="4" t="s">
        <v>261</v>
      </c>
      <c r="K84" s="4" t="s">
        <v>26</v>
      </c>
      <c r="O84" s="4" t="s">
        <v>183</v>
      </c>
      <c r="P84" s="4" t="s">
        <v>262</v>
      </c>
      <c r="Q84" s="9" t="s">
        <v>263</v>
      </c>
    </row>
    <row r="85" spans="1:17" ht="11.1" customHeight="1">
      <c r="C85" s="8"/>
      <c r="D85" s="4" t="s">
        <v>33</v>
      </c>
      <c r="E85" s="4" t="s">
        <v>264</v>
      </c>
      <c r="F85" s="4" t="s">
        <v>265</v>
      </c>
      <c r="G85" s="4" t="s">
        <v>26</v>
      </c>
      <c r="H85" s="4" t="s">
        <v>38</v>
      </c>
      <c r="J85" s="4" t="s">
        <v>266</v>
      </c>
      <c r="K85" s="4" t="s">
        <v>38</v>
      </c>
      <c r="N85" s="4" t="s">
        <v>49</v>
      </c>
      <c r="O85" s="4" t="s">
        <v>267</v>
      </c>
      <c r="P85" s="4" t="s">
        <v>268</v>
      </c>
      <c r="Q85" s="9" t="s">
        <v>269</v>
      </c>
    </row>
    <row r="86" spans="1:17" ht="11.1" customHeight="1">
      <c r="A86" s="3" t="s">
        <v>20</v>
      </c>
      <c r="C86" s="10"/>
      <c r="Q86" s="9" t="s">
        <v>270</v>
      </c>
    </row>
    <row r="87" spans="1:17" ht="11.1" customHeight="1">
      <c r="C87" s="8"/>
      <c r="Q87" s="9"/>
    </row>
    <row r="88" spans="1:17" ht="11.1" customHeight="1">
      <c r="C88" s="8" t="s">
        <v>215</v>
      </c>
      <c r="D88" s="4" t="s">
        <v>87</v>
      </c>
      <c r="E88" s="4" t="s">
        <v>212</v>
      </c>
      <c r="F88" s="4" t="s">
        <v>271</v>
      </c>
      <c r="G88" s="4" t="s">
        <v>26</v>
      </c>
      <c r="H88" s="4" t="s">
        <v>47</v>
      </c>
      <c r="J88" s="4" t="s">
        <v>213</v>
      </c>
      <c r="K88" s="4" t="s">
        <v>47</v>
      </c>
      <c r="N88" s="4" t="s">
        <v>124</v>
      </c>
      <c r="O88" s="4" t="s">
        <v>272</v>
      </c>
      <c r="P88" s="4" t="s">
        <v>273</v>
      </c>
      <c r="Q88" s="9" t="s">
        <v>274</v>
      </c>
    </row>
    <row r="89" spans="1:17" ht="11.1" customHeight="1">
      <c r="C89" s="8"/>
      <c r="D89" s="4" t="s">
        <v>105</v>
      </c>
      <c r="E89" s="4" t="s">
        <v>106</v>
      </c>
      <c r="F89" s="4" t="s">
        <v>275</v>
      </c>
      <c r="G89" s="4" t="s">
        <v>36</v>
      </c>
      <c r="H89" s="4" t="s">
        <v>36</v>
      </c>
      <c r="J89" s="4" t="s">
        <v>276</v>
      </c>
      <c r="K89" s="4" t="s">
        <v>36</v>
      </c>
      <c r="M89" s="4" t="s">
        <v>207</v>
      </c>
      <c r="N89" s="4" t="s">
        <v>277</v>
      </c>
      <c r="O89" s="4" t="s">
        <v>278</v>
      </c>
      <c r="P89" s="4" t="s">
        <v>279</v>
      </c>
      <c r="Q89" s="9" t="s">
        <v>280</v>
      </c>
    </row>
    <row r="90" spans="1:17" ht="11.1" customHeight="1">
      <c r="A90" s="3" t="s">
        <v>20</v>
      </c>
      <c r="C90" s="10"/>
      <c r="Q90" s="9" t="s">
        <v>84</v>
      </c>
    </row>
    <row r="91" spans="1:17" ht="11.1" customHeight="1">
      <c r="C91" s="8"/>
      <c r="Q91" s="9"/>
    </row>
    <row r="92" spans="1:17" ht="11.1" customHeight="1">
      <c r="C92" s="8" t="s">
        <v>110</v>
      </c>
      <c r="D92" s="4" t="s">
        <v>41</v>
      </c>
      <c r="E92" s="4" t="s">
        <v>281</v>
      </c>
      <c r="F92" s="4" t="s">
        <v>282</v>
      </c>
      <c r="G92" s="4" t="s">
        <v>26</v>
      </c>
      <c r="H92" s="4" t="s">
        <v>98</v>
      </c>
      <c r="J92" s="4" t="s">
        <v>283</v>
      </c>
      <c r="K92" s="4" t="s">
        <v>26</v>
      </c>
      <c r="O92" s="4" t="s">
        <v>284</v>
      </c>
      <c r="Q92" s="9"/>
    </row>
    <row r="93" spans="1:17" ht="11.1" customHeight="1">
      <c r="C93" s="8"/>
      <c r="D93" s="4" t="s">
        <v>105</v>
      </c>
      <c r="E93" s="4" t="s">
        <v>106</v>
      </c>
      <c r="F93" s="4" t="s">
        <v>109</v>
      </c>
      <c r="G93" s="4" t="s">
        <v>36</v>
      </c>
      <c r="H93" s="4" t="s">
        <v>36</v>
      </c>
      <c r="J93" s="4" t="s">
        <v>205</v>
      </c>
      <c r="K93" s="4" t="s">
        <v>36</v>
      </c>
      <c r="M93" s="4" t="s">
        <v>104</v>
      </c>
      <c r="N93" s="4" t="s">
        <v>177</v>
      </c>
      <c r="P93" s="4" t="s">
        <v>285</v>
      </c>
      <c r="Q93" s="9" t="s">
        <v>286</v>
      </c>
    </row>
    <row r="94" spans="1:17" ht="11.1" customHeight="1">
      <c r="C94" s="8"/>
      <c r="D94" s="4" t="s">
        <v>33</v>
      </c>
      <c r="E94" s="4" t="s">
        <v>112</v>
      </c>
      <c r="F94" s="4" t="s">
        <v>114</v>
      </c>
      <c r="G94" s="4" t="s">
        <v>38</v>
      </c>
      <c r="H94" s="4" t="s">
        <v>38</v>
      </c>
      <c r="J94" s="4" t="s">
        <v>287</v>
      </c>
      <c r="K94" s="4" t="s">
        <v>36</v>
      </c>
      <c r="M94" s="4" t="s">
        <v>104</v>
      </c>
      <c r="N94" s="4" t="s">
        <v>172</v>
      </c>
      <c r="O94" s="4" t="s">
        <v>288</v>
      </c>
      <c r="P94" s="4" t="s">
        <v>289</v>
      </c>
      <c r="Q94" s="9" t="s">
        <v>290</v>
      </c>
    </row>
    <row r="95" spans="1:17" ht="11.1" customHeight="1">
      <c r="A95" s="3" t="s">
        <v>20</v>
      </c>
      <c r="C95" s="10"/>
      <c r="Q95" s="9" t="s">
        <v>291</v>
      </c>
    </row>
    <row r="96" spans="1:17" ht="11.1" customHeight="1">
      <c r="C96" s="8"/>
      <c r="Q96" s="9"/>
    </row>
    <row r="97" spans="1:17" ht="11.1" customHeight="1">
      <c r="C97" s="8" t="s">
        <v>172</v>
      </c>
      <c r="D97" s="4" t="s">
        <v>53</v>
      </c>
      <c r="E97" s="4" t="s">
        <v>292</v>
      </c>
      <c r="F97" s="4" t="s">
        <v>293</v>
      </c>
      <c r="G97" s="4" t="s">
        <v>26</v>
      </c>
      <c r="H97" s="4" t="s">
        <v>36</v>
      </c>
      <c r="J97" s="4" t="s">
        <v>294</v>
      </c>
      <c r="K97" s="4" t="s">
        <v>26</v>
      </c>
      <c r="O97" s="4" t="s">
        <v>295</v>
      </c>
      <c r="Q97" s="9"/>
    </row>
    <row r="98" spans="1:17" ht="11.1" customHeight="1">
      <c r="C98" s="8"/>
      <c r="D98" s="4" t="s">
        <v>33</v>
      </c>
      <c r="E98" s="4" t="s">
        <v>169</v>
      </c>
      <c r="F98" s="4" t="s">
        <v>171</v>
      </c>
      <c r="G98" s="4" t="s">
        <v>36</v>
      </c>
      <c r="H98" s="4" t="s">
        <v>36</v>
      </c>
      <c r="J98" s="4" t="s">
        <v>221</v>
      </c>
      <c r="K98" s="4" t="s">
        <v>36</v>
      </c>
      <c r="M98" s="4" t="s">
        <v>168</v>
      </c>
      <c r="N98" s="4" t="s">
        <v>201</v>
      </c>
      <c r="P98" s="4" t="s">
        <v>296</v>
      </c>
      <c r="Q98" s="9" t="s">
        <v>297</v>
      </c>
    </row>
    <row r="99" spans="1:17" ht="11.1" customHeight="1">
      <c r="C99" s="8"/>
      <c r="D99" s="4" t="s">
        <v>33</v>
      </c>
      <c r="E99" s="4" t="s">
        <v>112</v>
      </c>
      <c r="F99" s="4" t="s">
        <v>287</v>
      </c>
      <c r="G99" s="4" t="s">
        <v>36</v>
      </c>
      <c r="H99" s="4" t="s">
        <v>36</v>
      </c>
      <c r="J99" s="4" t="s">
        <v>298</v>
      </c>
      <c r="K99" s="4" t="s">
        <v>36</v>
      </c>
      <c r="M99" s="4" t="s">
        <v>110</v>
      </c>
      <c r="N99" s="4" t="s">
        <v>147</v>
      </c>
      <c r="O99" s="4" t="s">
        <v>299</v>
      </c>
      <c r="P99" s="4" t="s">
        <v>300</v>
      </c>
      <c r="Q99" s="9" t="s">
        <v>301</v>
      </c>
    </row>
    <row r="100" spans="1:17" ht="11.1" customHeight="1">
      <c r="A100" s="3" t="s">
        <v>20</v>
      </c>
      <c r="C100" s="10"/>
      <c r="Q100" s="9" t="s">
        <v>295</v>
      </c>
    </row>
    <row r="101" spans="1:17" ht="11.1" customHeight="1">
      <c r="C101" s="8"/>
      <c r="Q101" s="9"/>
    </row>
    <row r="102" spans="1:17" ht="11.1" customHeight="1">
      <c r="C102" s="8" t="s">
        <v>85</v>
      </c>
      <c r="D102" s="4" t="s">
        <v>81</v>
      </c>
      <c r="E102" s="4" t="s">
        <v>82</v>
      </c>
      <c r="F102" s="4" t="s">
        <v>84</v>
      </c>
      <c r="G102" s="4" t="s">
        <v>44</v>
      </c>
      <c r="H102" s="4" t="s">
        <v>241</v>
      </c>
      <c r="J102" s="4" t="s">
        <v>229</v>
      </c>
      <c r="K102" s="4" t="s">
        <v>47</v>
      </c>
      <c r="M102" s="4" t="s">
        <v>80</v>
      </c>
      <c r="N102" s="4" t="s">
        <v>39</v>
      </c>
      <c r="O102" s="4" t="s">
        <v>302</v>
      </c>
      <c r="P102" s="4" t="s">
        <v>91</v>
      </c>
      <c r="Q102" s="9" t="s">
        <v>303</v>
      </c>
    </row>
    <row r="103" spans="1:17" ht="11.1" customHeight="1">
      <c r="C103" s="8"/>
      <c r="D103" s="4" t="s">
        <v>81</v>
      </c>
      <c r="E103" s="4" t="s">
        <v>151</v>
      </c>
      <c r="F103" s="4" t="s">
        <v>304</v>
      </c>
      <c r="G103" s="4" t="s">
        <v>47</v>
      </c>
      <c r="H103" s="4" t="s">
        <v>153</v>
      </c>
      <c r="J103" s="4" t="s">
        <v>305</v>
      </c>
      <c r="K103" s="4" t="s">
        <v>47</v>
      </c>
      <c r="M103" s="4" t="s">
        <v>155</v>
      </c>
      <c r="N103" s="4" t="s">
        <v>253</v>
      </c>
      <c r="O103" s="4" t="s">
        <v>306</v>
      </c>
      <c r="P103" s="4" t="s">
        <v>307</v>
      </c>
      <c r="Q103" s="9" t="s">
        <v>308</v>
      </c>
    </row>
    <row r="104" spans="1:17" ht="11.1" customHeight="1">
      <c r="A104" s="3" t="s">
        <v>20</v>
      </c>
      <c r="C104" s="10"/>
      <c r="Q104" s="9" t="s">
        <v>309</v>
      </c>
    </row>
    <row r="105" spans="1:17" ht="11.1" customHeight="1">
      <c r="C105" s="8"/>
      <c r="Q105" s="9"/>
    </row>
    <row r="106" spans="1:17" ht="11.1" customHeight="1">
      <c r="C106" s="8" t="s">
        <v>57</v>
      </c>
      <c r="D106" s="4" t="s">
        <v>81</v>
      </c>
      <c r="E106" s="4" t="s">
        <v>54</v>
      </c>
      <c r="F106" s="4" t="s">
        <v>56</v>
      </c>
      <c r="G106" s="4" t="s">
        <v>47</v>
      </c>
      <c r="H106" s="4" t="s">
        <v>153</v>
      </c>
      <c r="J106" s="4" t="s">
        <v>99</v>
      </c>
      <c r="K106" s="4" t="s">
        <v>47</v>
      </c>
      <c r="M106" s="4" t="s">
        <v>52</v>
      </c>
      <c r="N106" s="4" t="s">
        <v>310</v>
      </c>
      <c r="O106" s="4" t="s">
        <v>84</v>
      </c>
      <c r="P106" s="4" t="s">
        <v>102</v>
      </c>
      <c r="Q106" s="9" t="s">
        <v>311</v>
      </c>
    </row>
    <row r="107" spans="1:17" ht="11.1" customHeight="1">
      <c r="C107" s="8"/>
      <c r="D107" s="4" t="s">
        <v>312</v>
      </c>
      <c r="E107" s="4" t="s">
        <v>313</v>
      </c>
      <c r="F107" s="4" t="s">
        <v>314</v>
      </c>
      <c r="G107" s="4" t="s">
        <v>26</v>
      </c>
      <c r="H107" s="4" t="s">
        <v>315</v>
      </c>
      <c r="J107" s="4" t="s">
        <v>316</v>
      </c>
      <c r="K107" s="4" t="s">
        <v>26</v>
      </c>
      <c r="O107" s="4" t="s">
        <v>317</v>
      </c>
      <c r="P107" s="4" t="s">
        <v>318</v>
      </c>
      <c r="Q107" s="9" t="s">
        <v>319</v>
      </c>
    </row>
    <row r="108" spans="1:17" ht="11.1" customHeight="1">
      <c r="A108" s="3" t="s">
        <v>20</v>
      </c>
      <c r="C108" s="10"/>
      <c r="Q108" s="9" t="s">
        <v>294</v>
      </c>
    </row>
    <row r="109" spans="1:17" ht="11.1" customHeight="1">
      <c r="C109" s="8"/>
      <c r="Q109" s="9"/>
    </row>
    <row r="110" spans="1:17" ht="11.1" customHeight="1">
      <c r="C110" s="8" t="s">
        <v>71</v>
      </c>
      <c r="D110" s="4" t="s">
        <v>33</v>
      </c>
      <c r="E110" s="4" t="s">
        <v>67</v>
      </c>
      <c r="F110" s="4" t="s">
        <v>70</v>
      </c>
      <c r="G110" s="4" t="s">
        <v>36</v>
      </c>
      <c r="H110" s="4" t="s">
        <v>36</v>
      </c>
      <c r="J110" s="4" t="s">
        <v>191</v>
      </c>
      <c r="K110" s="4" t="s">
        <v>36</v>
      </c>
      <c r="M110" s="4" t="s">
        <v>66</v>
      </c>
      <c r="N110" s="4" t="s">
        <v>115</v>
      </c>
      <c r="O110" s="4" t="s">
        <v>320</v>
      </c>
      <c r="P110" s="4" t="s">
        <v>321</v>
      </c>
      <c r="Q110" s="9" t="s">
        <v>280</v>
      </c>
    </row>
    <row r="111" spans="1:17" ht="11.1" customHeight="1">
      <c r="C111" s="8"/>
      <c r="D111" s="4" t="s">
        <v>81</v>
      </c>
      <c r="E111" s="4" t="s">
        <v>82</v>
      </c>
      <c r="F111" s="4" t="s">
        <v>230</v>
      </c>
      <c r="G111" s="4" t="s">
        <v>47</v>
      </c>
      <c r="H111" s="4" t="s">
        <v>153</v>
      </c>
      <c r="J111" s="4" t="s">
        <v>322</v>
      </c>
      <c r="K111" s="4" t="s">
        <v>44</v>
      </c>
      <c r="M111" s="4" t="s">
        <v>39</v>
      </c>
      <c r="N111" s="4" t="s">
        <v>310</v>
      </c>
      <c r="O111" s="4" t="s">
        <v>136</v>
      </c>
      <c r="Q111" s="9"/>
    </row>
    <row r="112" spans="1:17" ht="11.1" customHeight="1">
      <c r="C112" s="8"/>
      <c r="D112" s="4" t="s">
        <v>87</v>
      </c>
      <c r="E112" s="4" t="s">
        <v>130</v>
      </c>
      <c r="F112" s="4" t="s">
        <v>323</v>
      </c>
      <c r="G112" s="4" t="s">
        <v>47</v>
      </c>
      <c r="H112" s="4" t="s">
        <v>132</v>
      </c>
      <c r="J112" s="4" t="s">
        <v>324</v>
      </c>
      <c r="K112" s="4" t="s">
        <v>47</v>
      </c>
      <c r="M112" s="4" t="s">
        <v>135</v>
      </c>
      <c r="N112" s="4" t="s">
        <v>216</v>
      </c>
      <c r="P112" s="4" t="s">
        <v>325</v>
      </c>
      <c r="Q112" s="9" t="s">
        <v>326</v>
      </c>
    </row>
    <row r="113" spans="1:17" ht="11.1" customHeight="1">
      <c r="A113" s="3" t="s">
        <v>20</v>
      </c>
      <c r="C113" s="10"/>
      <c r="Q113" s="9" t="s">
        <v>327</v>
      </c>
    </row>
    <row r="114" spans="1:17" ht="11.1" customHeight="1">
      <c r="C114" s="8"/>
      <c r="Q114" s="9"/>
    </row>
    <row r="115" spans="1:17" ht="11.1" customHeight="1">
      <c r="C115" s="8" t="s">
        <v>328</v>
      </c>
      <c r="D115" s="51" t="s">
        <v>329</v>
      </c>
      <c r="F115" s="4" t="s">
        <v>330</v>
      </c>
      <c r="G115" s="4" t="s">
        <v>26</v>
      </c>
      <c r="J115" s="4" t="s">
        <v>187</v>
      </c>
      <c r="K115" s="4" t="s">
        <v>26</v>
      </c>
      <c r="O115" s="4" t="s">
        <v>330</v>
      </c>
      <c r="P115" s="4" t="s">
        <v>187</v>
      </c>
      <c r="Q115" s="9" t="s">
        <v>331</v>
      </c>
    </row>
    <row r="116" spans="1:17" ht="11.1" customHeight="1">
      <c r="C116" s="8"/>
      <c r="D116" s="4" t="s">
        <v>33</v>
      </c>
      <c r="E116" s="4" t="s">
        <v>259</v>
      </c>
      <c r="F116" s="4" t="s">
        <v>332</v>
      </c>
      <c r="G116" s="4" t="s">
        <v>26</v>
      </c>
      <c r="H116" s="4" t="s">
        <v>36</v>
      </c>
      <c r="J116" s="4" t="s">
        <v>333</v>
      </c>
      <c r="K116" s="4" t="s">
        <v>38</v>
      </c>
      <c r="N116" s="4" t="s">
        <v>238</v>
      </c>
      <c r="O116" s="4" t="s">
        <v>275</v>
      </c>
      <c r="P116" s="4" t="s">
        <v>334</v>
      </c>
      <c r="Q116" s="9" t="s">
        <v>335</v>
      </c>
    </row>
    <row r="117" spans="1:17" ht="11.1" customHeight="1">
      <c r="A117" s="3" t="s">
        <v>20</v>
      </c>
      <c r="C117" s="10"/>
      <c r="Q117" s="9" t="s">
        <v>336</v>
      </c>
    </row>
    <row r="118" spans="1:17" ht="11.1" customHeight="1">
      <c r="C118" s="8"/>
      <c r="Q118" s="9"/>
    </row>
    <row r="119" spans="1:17" ht="11.1" customHeight="1">
      <c r="C119" s="8" t="s">
        <v>337</v>
      </c>
      <c r="D119" s="51" t="s">
        <v>329</v>
      </c>
      <c r="F119" s="4" t="s">
        <v>330</v>
      </c>
      <c r="G119" s="4" t="s">
        <v>26</v>
      </c>
      <c r="J119" s="4" t="s">
        <v>187</v>
      </c>
      <c r="K119" s="4" t="s">
        <v>26</v>
      </c>
      <c r="O119" s="4" t="s">
        <v>330</v>
      </c>
      <c r="P119" s="4" t="s">
        <v>187</v>
      </c>
      <c r="Q119" s="9" t="s">
        <v>331</v>
      </c>
    </row>
    <row r="120" spans="1:17" ht="11.1" customHeight="1">
      <c r="C120" s="8"/>
      <c r="D120" s="4" t="s">
        <v>41</v>
      </c>
      <c r="E120" s="4" t="s">
        <v>121</v>
      </c>
      <c r="F120" s="4" t="s">
        <v>338</v>
      </c>
      <c r="G120" s="4" t="s">
        <v>47</v>
      </c>
      <c r="H120" s="4" t="s">
        <v>119</v>
      </c>
      <c r="J120" s="4" t="s">
        <v>339</v>
      </c>
      <c r="K120" s="4" t="s">
        <v>44</v>
      </c>
      <c r="M120" s="4" t="s">
        <v>125</v>
      </c>
      <c r="N120" s="4" t="s">
        <v>178</v>
      </c>
      <c r="O120" s="4" t="s">
        <v>340</v>
      </c>
      <c r="P120" s="4" t="s">
        <v>341</v>
      </c>
      <c r="Q120" s="9" t="s">
        <v>342</v>
      </c>
    </row>
    <row r="121" spans="1:17" ht="11.1" customHeight="1">
      <c r="A121" s="3" t="s">
        <v>20</v>
      </c>
      <c r="C121" s="10"/>
      <c r="Q121" s="9" t="s">
        <v>343</v>
      </c>
    </row>
    <row r="122" spans="1:17" ht="11.1" customHeight="1">
      <c r="C122" s="8"/>
      <c r="Q122" s="9"/>
    </row>
    <row r="123" spans="1:17" ht="11.1" customHeight="1">
      <c r="C123" s="8" t="s">
        <v>344</v>
      </c>
      <c r="D123" s="4" t="s">
        <v>33</v>
      </c>
      <c r="E123" s="4" t="s">
        <v>345</v>
      </c>
      <c r="F123" s="4" t="s">
        <v>240</v>
      </c>
      <c r="G123" s="4" t="s">
        <v>26</v>
      </c>
      <c r="H123" s="4" t="s">
        <v>38</v>
      </c>
      <c r="J123" s="4" t="s">
        <v>346</v>
      </c>
      <c r="K123" s="4" t="s">
        <v>26</v>
      </c>
      <c r="O123" s="4" t="s">
        <v>242</v>
      </c>
      <c r="P123" s="4" t="s">
        <v>347</v>
      </c>
      <c r="Q123" s="9" t="s">
        <v>348</v>
      </c>
    </row>
    <row r="124" spans="1:17" ht="11.1" customHeight="1">
      <c r="C124" s="8"/>
      <c r="D124" s="51" t="s">
        <v>329</v>
      </c>
      <c r="F124" s="4" t="s">
        <v>349</v>
      </c>
      <c r="G124" s="4" t="s">
        <v>26</v>
      </c>
      <c r="J124" s="4" t="s">
        <v>350</v>
      </c>
      <c r="K124" s="4" t="s">
        <v>26</v>
      </c>
      <c r="O124" s="4" t="s">
        <v>349</v>
      </c>
      <c r="P124" s="4" t="s">
        <v>350</v>
      </c>
      <c r="Q124" s="9" t="s">
        <v>331</v>
      </c>
    </row>
    <row r="125" spans="1:17" ht="11.1" customHeight="1">
      <c r="A125" s="3" t="s">
        <v>20</v>
      </c>
      <c r="C125" s="10"/>
      <c r="Q125" s="9" t="s">
        <v>195</v>
      </c>
    </row>
    <row r="126" spans="1:17" ht="11.1" customHeight="1">
      <c r="C126" s="8"/>
      <c r="Q126" s="9"/>
    </row>
    <row r="127" spans="1:17" ht="11.1" customHeight="1">
      <c r="C127" s="8" t="s">
        <v>351</v>
      </c>
      <c r="D127" s="4" t="s">
        <v>233</v>
      </c>
      <c r="E127" s="4" t="s">
        <v>264</v>
      </c>
      <c r="F127" s="4" t="s">
        <v>352</v>
      </c>
      <c r="G127" s="4" t="s">
        <v>26</v>
      </c>
      <c r="H127" s="4" t="s">
        <v>260</v>
      </c>
      <c r="J127" s="4" t="s">
        <v>353</v>
      </c>
      <c r="K127" s="4" t="s">
        <v>26</v>
      </c>
      <c r="O127" s="4" t="s">
        <v>235</v>
      </c>
      <c r="P127" s="4" t="s">
        <v>354</v>
      </c>
      <c r="Q127" s="9" t="s">
        <v>355</v>
      </c>
    </row>
    <row r="128" spans="1:17" ht="11.1" customHeight="1">
      <c r="C128" s="8"/>
      <c r="D128" s="51" t="s">
        <v>329</v>
      </c>
      <c r="F128" s="4" t="s">
        <v>349</v>
      </c>
      <c r="G128" s="4" t="s">
        <v>26</v>
      </c>
      <c r="J128" s="4" t="s">
        <v>350</v>
      </c>
      <c r="K128" s="4" t="s">
        <v>26</v>
      </c>
      <c r="O128" s="4" t="s">
        <v>349</v>
      </c>
      <c r="P128" s="4" t="s">
        <v>350</v>
      </c>
      <c r="Q128" s="9" t="s">
        <v>331</v>
      </c>
    </row>
    <row r="129" spans="1:17" ht="11.1" customHeight="1">
      <c r="A129" s="3" t="s">
        <v>20</v>
      </c>
      <c r="C129" s="10"/>
      <c r="Q129" s="9" t="s">
        <v>356</v>
      </c>
    </row>
    <row r="130" spans="1:17" ht="11.1" customHeight="1">
      <c r="C130" s="8"/>
      <c r="Q130" s="9"/>
    </row>
    <row r="131" spans="1:17" ht="11.1" customHeight="1">
      <c r="C131" s="8" t="s">
        <v>125</v>
      </c>
      <c r="D131" s="4" t="s">
        <v>41</v>
      </c>
      <c r="E131" s="4" t="s">
        <v>121</v>
      </c>
      <c r="F131" s="4" t="s">
        <v>123</v>
      </c>
      <c r="G131" s="4" t="s">
        <v>47</v>
      </c>
      <c r="H131" s="4" t="s">
        <v>119</v>
      </c>
      <c r="J131" s="4" t="s">
        <v>338</v>
      </c>
      <c r="K131" s="4" t="s">
        <v>47</v>
      </c>
      <c r="M131" s="4" t="s">
        <v>48</v>
      </c>
      <c r="N131" s="4" t="s">
        <v>337</v>
      </c>
      <c r="O131" s="4" t="s">
        <v>357</v>
      </c>
      <c r="Q131" s="9"/>
    </row>
    <row r="132" spans="1:17" ht="11.1" customHeight="1">
      <c r="C132" s="8"/>
      <c r="D132" s="4" t="s">
        <v>33</v>
      </c>
      <c r="E132" s="4" t="s">
        <v>345</v>
      </c>
      <c r="F132" s="4" t="s">
        <v>358</v>
      </c>
      <c r="G132" s="4" t="s">
        <v>38</v>
      </c>
      <c r="H132" s="4" t="s">
        <v>38</v>
      </c>
      <c r="J132" s="4" t="s">
        <v>359</v>
      </c>
      <c r="K132" s="4" t="s">
        <v>26</v>
      </c>
      <c r="M132" s="4" t="s">
        <v>207</v>
      </c>
      <c r="P132" s="4" t="s">
        <v>360</v>
      </c>
      <c r="Q132" s="9" t="s">
        <v>361</v>
      </c>
    </row>
    <row r="133" spans="1:17" ht="11.1" customHeight="1">
      <c r="C133" s="8"/>
      <c r="Q133" s="9"/>
    </row>
    <row r="134" spans="1:17" ht="11.1" customHeight="1">
      <c r="C134" s="8" t="s">
        <v>186</v>
      </c>
      <c r="D134" s="4" t="s">
        <v>138</v>
      </c>
      <c r="E134" s="4" t="s">
        <v>34</v>
      </c>
      <c r="F134" s="4" t="s">
        <v>185</v>
      </c>
      <c r="G134" s="4" t="s">
        <v>38</v>
      </c>
      <c r="H134" s="4" t="s">
        <v>38</v>
      </c>
      <c r="J134" s="4" t="s">
        <v>362</v>
      </c>
      <c r="K134" s="4" t="s">
        <v>36</v>
      </c>
      <c r="M134" s="4" t="s">
        <v>100</v>
      </c>
      <c r="N134" s="4" t="s">
        <v>363</v>
      </c>
      <c r="O134" s="4" t="s">
        <v>364</v>
      </c>
      <c r="Q134" s="9"/>
    </row>
    <row r="135" spans="1:17" ht="11.1" customHeight="1">
      <c r="C135" s="8"/>
      <c r="D135" s="4" t="s">
        <v>142</v>
      </c>
      <c r="E135" s="4" t="s">
        <v>143</v>
      </c>
      <c r="F135" s="4" t="s">
        <v>365</v>
      </c>
      <c r="G135" s="4" t="s">
        <v>69</v>
      </c>
      <c r="H135" s="4" t="s">
        <v>69</v>
      </c>
      <c r="J135" s="4" t="s">
        <v>366</v>
      </c>
      <c r="K135" s="4" t="s">
        <v>26</v>
      </c>
      <c r="M135" s="4" t="s">
        <v>147</v>
      </c>
      <c r="P135" s="4" t="s">
        <v>367</v>
      </c>
      <c r="Q135" s="9" t="s">
        <v>368</v>
      </c>
    </row>
    <row r="136" spans="1:17" ht="11.1" customHeight="1">
      <c r="C136" s="8"/>
      <c r="Q136" s="9"/>
    </row>
    <row r="137" spans="1:17" ht="11.1" customHeight="1">
      <c r="C137" s="8" t="s">
        <v>49</v>
      </c>
      <c r="D137" s="4" t="s">
        <v>41</v>
      </c>
      <c r="E137" s="4" t="s">
        <v>42</v>
      </c>
      <c r="F137" s="4" t="s">
        <v>46</v>
      </c>
      <c r="G137" s="4" t="s">
        <v>47</v>
      </c>
      <c r="H137" s="4" t="s">
        <v>119</v>
      </c>
      <c r="J137" s="4" t="s">
        <v>317</v>
      </c>
      <c r="K137" s="4" t="s">
        <v>47</v>
      </c>
      <c r="M137" s="4" t="s">
        <v>32</v>
      </c>
      <c r="N137" s="4" t="s">
        <v>369</v>
      </c>
      <c r="O137" s="4" t="s">
        <v>370</v>
      </c>
      <c r="Q137" s="9"/>
    </row>
    <row r="138" spans="1:17" ht="11.1" customHeight="1">
      <c r="C138" s="8"/>
      <c r="D138" s="4" t="s">
        <v>33</v>
      </c>
      <c r="E138" s="4" t="s">
        <v>264</v>
      </c>
      <c r="F138" s="4" t="s">
        <v>266</v>
      </c>
      <c r="G138" s="4" t="s">
        <v>38</v>
      </c>
      <c r="H138" s="4" t="s">
        <v>38</v>
      </c>
      <c r="J138" s="4" t="s">
        <v>360</v>
      </c>
      <c r="K138" s="4" t="s">
        <v>26</v>
      </c>
      <c r="M138" s="4" t="s">
        <v>258</v>
      </c>
      <c r="P138" s="4" t="s">
        <v>371</v>
      </c>
      <c r="Q138" s="9" t="s">
        <v>372</v>
      </c>
    </row>
    <row r="139" spans="1:17" ht="11.1" customHeight="1">
      <c r="C139" s="8"/>
      <c r="Q139" s="9"/>
    </row>
    <row r="140" spans="1:17" ht="11.1" customHeight="1">
      <c r="C140" s="8" t="s">
        <v>155</v>
      </c>
      <c r="D140" s="4" t="s">
        <v>81</v>
      </c>
      <c r="E140" s="4" t="s">
        <v>151</v>
      </c>
      <c r="F140" s="4" t="s">
        <v>50</v>
      </c>
      <c r="G140" s="4" t="s">
        <v>44</v>
      </c>
      <c r="H140" s="4" t="s">
        <v>241</v>
      </c>
      <c r="J140" s="4" t="s">
        <v>304</v>
      </c>
      <c r="K140" s="4" t="s">
        <v>47</v>
      </c>
      <c r="M140" s="4" t="s">
        <v>134</v>
      </c>
      <c r="N140" s="4" t="s">
        <v>85</v>
      </c>
      <c r="O140" s="4" t="s">
        <v>46</v>
      </c>
      <c r="Q140" s="9"/>
    </row>
    <row r="141" spans="1:17" ht="11.1" customHeight="1">
      <c r="C141" s="8"/>
      <c r="D141" s="4" t="s">
        <v>41</v>
      </c>
      <c r="E141" s="4" t="s">
        <v>96</v>
      </c>
      <c r="F141" s="4" t="s">
        <v>373</v>
      </c>
      <c r="G141" s="4" t="s">
        <v>47</v>
      </c>
      <c r="H141" s="4" t="s">
        <v>119</v>
      </c>
      <c r="J141" s="4" t="s">
        <v>374</v>
      </c>
      <c r="K141" s="4" t="s">
        <v>26</v>
      </c>
      <c r="M141" s="4" t="s">
        <v>101</v>
      </c>
      <c r="P141" s="4" t="s">
        <v>375</v>
      </c>
      <c r="Q141" s="9" t="s">
        <v>65</v>
      </c>
    </row>
    <row r="142" spans="1:17" ht="11.1" customHeight="1">
      <c r="C142" s="8"/>
      <c r="Q142" s="9"/>
    </row>
    <row r="143" spans="1:17" ht="11.1" customHeight="1">
      <c r="C143" s="8" t="s">
        <v>147</v>
      </c>
      <c r="D143" s="4" t="s">
        <v>142</v>
      </c>
      <c r="E143" s="4" t="s">
        <v>143</v>
      </c>
      <c r="F143" s="4" t="s">
        <v>145</v>
      </c>
      <c r="G143" s="4" t="s">
        <v>69</v>
      </c>
      <c r="H143" s="4" t="s">
        <v>69</v>
      </c>
      <c r="J143" s="4" t="s">
        <v>365</v>
      </c>
      <c r="K143" s="4" t="s">
        <v>69</v>
      </c>
      <c r="M143" s="4" t="s">
        <v>76</v>
      </c>
      <c r="N143" s="4" t="s">
        <v>186</v>
      </c>
      <c r="O143" s="4" t="s">
        <v>156</v>
      </c>
      <c r="Q143" s="9"/>
    </row>
    <row r="144" spans="1:17" ht="11.1" customHeight="1">
      <c r="C144" s="8"/>
      <c r="D144" s="4" t="s">
        <v>33</v>
      </c>
      <c r="E144" s="4" t="s">
        <v>112</v>
      </c>
      <c r="F144" s="4" t="s">
        <v>298</v>
      </c>
      <c r="G144" s="4" t="s">
        <v>36</v>
      </c>
      <c r="H144" s="4" t="s">
        <v>36</v>
      </c>
      <c r="J144" s="4" t="s">
        <v>376</v>
      </c>
      <c r="K144" s="4" t="s">
        <v>36</v>
      </c>
      <c r="M144" s="4" t="s">
        <v>172</v>
      </c>
      <c r="N144" s="4" t="s">
        <v>277</v>
      </c>
      <c r="P144" s="4" t="s">
        <v>377</v>
      </c>
      <c r="Q144" s="9" t="s">
        <v>65</v>
      </c>
    </row>
    <row r="145" spans="1:18" ht="11.1" customHeight="1">
      <c r="C145" s="5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7"/>
    </row>
    <row r="146" spans="1:18" s="2" customFormat="1" ht="11.1" customHeight="1">
      <c r="A146" s="1"/>
      <c r="B146" s="1"/>
      <c r="C146" s="113" t="s">
        <v>11</v>
      </c>
      <c r="D146" s="114"/>
      <c r="E146" s="114"/>
      <c r="F146" s="115"/>
      <c r="G146" s="113" t="s">
        <v>1064</v>
      </c>
      <c r="H146" s="114"/>
      <c r="I146" s="114"/>
      <c r="J146" s="114"/>
      <c r="K146" s="114"/>
      <c r="L146" s="114"/>
      <c r="M146" s="114"/>
      <c r="N146" s="114"/>
      <c r="O146" s="115"/>
      <c r="P146" s="41" t="s">
        <v>19</v>
      </c>
      <c r="Q146" s="42">
        <v>3</v>
      </c>
    </row>
    <row r="147" spans="1:18" s="2" customFormat="1" ht="11.1" customHeight="1">
      <c r="A147" s="1"/>
      <c r="B147" s="1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</row>
    <row r="148" spans="1:18" s="2" customFormat="1" ht="11.1" customHeight="1">
      <c r="A148" s="1"/>
      <c r="B148" s="1"/>
      <c r="C148" s="122" t="s">
        <v>18</v>
      </c>
      <c r="D148" s="122"/>
      <c r="E148" s="122"/>
      <c r="F148" s="122"/>
      <c r="G148" s="113" t="s">
        <v>1067</v>
      </c>
      <c r="H148" s="114"/>
      <c r="I148" s="114"/>
      <c r="J148" s="114"/>
      <c r="K148" s="114"/>
      <c r="L148" s="114"/>
      <c r="M148" s="114"/>
      <c r="N148" s="115"/>
      <c r="O148" s="113" t="s">
        <v>22</v>
      </c>
      <c r="P148" s="123"/>
      <c r="Q148" s="115"/>
    </row>
    <row r="149" spans="1:18" ht="11.1" customHeight="1"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</row>
    <row r="150" spans="1:18" ht="11.1" customHeight="1">
      <c r="B150" s="3" t="s">
        <v>9</v>
      </c>
      <c r="C150" s="45" t="s">
        <v>0</v>
      </c>
      <c r="D150" s="46" t="s">
        <v>1</v>
      </c>
      <c r="E150" s="46" t="s">
        <v>3</v>
      </c>
      <c r="F150" s="46" t="s">
        <v>12</v>
      </c>
      <c r="G150" s="46" t="s">
        <v>14</v>
      </c>
      <c r="H150" s="46" t="s">
        <v>15</v>
      </c>
      <c r="I150" s="46"/>
      <c r="J150" s="46" t="s">
        <v>16</v>
      </c>
      <c r="K150" s="46" t="s">
        <v>14</v>
      </c>
      <c r="L150" s="46"/>
      <c r="M150" s="46" t="s">
        <v>4</v>
      </c>
      <c r="N150" s="46" t="s">
        <v>6</v>
      </c>
      <c r="O150" s="46" t="s">
        <v>0</v>
      </c>
      <c r="P150" s="46" t="s">
        <v>0</v>
      </c>
      <c r="Q150" s="47" t="s">
        <v>21</v>
      </c>
      <c r="R150" s="4" t="s">
        <v>10</v>
      </c>
    </row>
    <row r="151" spans="1:18" ht="11.1" customHeight="1">
      <c r="C151" s="48" t="s">
        <v>2</v>
      </c>
      <c r="D151" s="49"/>
      <c r="E151" s="49"/>
      <c r="F151" s="49" t="s">
        <v>13</v>
      </c>
      <c r="G151" s="49"/>
      <c r="H151" s="49"/>
      <c r="I151" s="49"/>
      <c r="J151" s="49" t="s">
        <v>13</v>
      </c>
      <c r="K151" s="49"/>
      <c r="L151" s="49"/>
      <c r="M151" s="49" t="s">
        <v>5</v>
      </c>
      <c r="N151" s="49" t="s">
        <v>5</v>
      </c>
      <c r="O151" s="49" t="s">
        <v>7</v>
      </c>
      <c r="P151" s="49" t="s">
        <v>8</v>
      </c>
      <c r="Q151" s="50" t="s">
        <v>17</v>
      </c>
    </row>
    <row r="152" spans="1:18" ht="11.1" customHeight="1">
      <c r="C152" s="8" t="s">
        <v>310</v>
      </c>
      <c r="D152" s="4" t="s">
        <v>81</v>
      </c>
      <c r="E152" s="4" t="s">
        <v>54</v>
      </c>
      <c r="F152" s="4" t="s">
        <v>99</v>
      </c>
      <c r="G152" s="4" t="s">
        <v>47</v>
      </c>
      <c r="H152" s="4" t="s">
        <v>153</v>
      </c>
      <c r="J152" s="4" t="s">
        <v>378</v>
      </c>
      <c r="K152" s="4" t="s">
        <v>44</v>
      </c>
      <c r="M152" s="4" t="s">
        <v>57</v>
      </c>
      <c r="N152" s="4" t="s">
        <v>379</v>
      </c>
      <c r="O152" s="4" t="s">
        <v>145</v>
      </c>
      <c r="Q152" s="9"/>
    </row>
    <row r="153" spans="1:18" ht="11.1" customHeight="1">
      <c r="C153" s="8"/>
      <c r="D153" s="4" t="s">
        <v>81</v>
      </c>
      <c r="E153" s="4" t="s">
        <v>82</v>
      </c>
      <c r="F153" s="4" t="s">
        <v>322</v>
      </c>
      <c r="G153" s="4" t="s">
        <v>44</v>
      </c>
      <c r="H153" s="4" t="s">
        <v>241</v>
      </c>
      <c r="J153" s="4" t="s">
        <v>380</v>
      </c>
      <c r="K153" s="4" t="s">
        <v>26</v>
      </c>
      <c r="M153" s="4" t="s">
        <v>71</v>
      </c>
      <c r="P153" s="4" t="s">
        <v>381</v>
      </c>
      <c r="Q153" s="9" t="s">
        <v>65</v>
      </c>
    </row>
    <row r="154" spans="1:18" ht="11.1" customHeight="1">
      <c r="C154" s="8"/>
      <c r="Q154" s="9"/>
    </row>
    <row r="155" spans="1:18" ht="11.1" customHeight="1">
      <c r="C155" s="8" t="s">
        <v>101</v>
      </c>
      <c r="D155" s="4" t="s">
        <v>41</v>
      </c>
      <c r="E155" s="4" t="s">
        <v>96</v>
      </c>
      <c r="F155" s="4" t="s">
        <v>99</v>
      </c>
      <c r="G155" s="4" t="s">
        <v>47</v>
      </c>
      <c r="H155" s="4" t="s">
        <v>119</v>
      </c>
      <c r="J155" s="4" t="s">
        <v>373</v>
      </c>
      <c r="K155" s="4" t="s">
        <v>47</v>
      </c>
      <c r="M155" s="4" t="s">
        <v>62</v>
      </c>
      <c r="N155" s="4" t="s">
        <v>155</v>
      </c>
      <c r="O155" s="4" t="s">
        <v>145</v>
      </c>
      <c r="Q155" s="9"/>
    </row>
    <row r="156" spans="1:18" ht="11.1" customHeight="1">
      <c r="C156" s="8"/>
      <c r="D156" s="4" t="s">
        <v>33</v>
      </c>
      <c r="E156" s="4" t="s">
        <v>174</v>
      </c>
      <c r="F156" s="4" t="s">
        <v>382</v>
      </c>
      <c r="G156" s="4" t="s">
        <v>38</v>
      </c>
      <c r="H156" s="4" t="s">
        <v>38</v>
      </c>
      <c r="J156" s="4" t="s">
        <v>383</v>
      </c>
      <c r="K156" s="4" t="s">
        <v>26</v>
      </c>
      <c r="M156" s="4" t="s">
        <v>178</v>
      </c>
      <c r="P156" s="4" t="s">
        <v>384</v>
      </c>
      <c r="Q156" s="9" t="s">
        <v>385</v>
      </c>
    </row>
    <row r="157" spans="1:18" ht="11.1" customHeight="1">
      <c r="C157" s="8"/>
      <c r="Q157" s="9"/>
    </row>
    <row r="158" spans="1:18" ht="11.1" customHeight="1">
      <c r="C158" s="8" t="s">
        <v>164</v>
      </c>
      <c r="D158" s="4" t="s">
        <v>159</v>
      </c>
      <c r="E158" s="4" t="s">
        <v>160</v>
      </c>
      <c r="F158" s="4" t="s">
        <v>163</v>
      </c>
      <c r="G158" s="4" t="s">
        <v>162</v>
      </c>
      <c r="H158" s="4" t="s">
        <v>162</v>
      </c>
      <c r="J158" s="4" t="s">
        <v>380</v>
      </c>
      <c r="K158" s="4" t="s">
        <v>26</v>
      </c>
      <c r="M158" s="4" t="s">
        <v>158</v>
      </c>
      <c r="O158" s="4" t="s">
        <v>386</v>
      </c>
      <c r="P158" s="4" t="s">
        <v>381</v>
      </c>
      <c r="Q158" s="9" t="s">
        <v>385</v>
      </c>
    </row>
    <row r="159" spans="1:18" ht="11.1" customHeight="1">
      <c r="C159" s="8"/>
      <c r="Q159" s="9"/>
    </row>
    <row r="160" spans="1:18" ht="11.1" customHeight="1">
      <c r="C160" s="8" t="s">
        <v>63</v>
      </c>
      <c r="D160" s="4" t="s">
        <v>41</v>
      </c>
      <c r="E160" s="4" t="s">
        <v>59</v>
      </c>
      <c r="F160" s="4" t="s">
        <v>61</v>
      </c>
      <c r="G160" s="4" t="s">
        <v>47</v>
      </c>
      <c r="H160" s="4" t="s">
        <v>119</v>
      </c>
      <c r="J160" s="4" t="s">
        <v>387</v>
      </c>
      <c r="K160" s="4" t="s">
        <v>47</v>
      </c>
      <c r="M160" s="4" t="s">
        <v>52</v>
      </c>
      <c r="N160" s="4" t="s">
        <v>388</v>
      </c>
      <c r="O160" s="4" t="s">
        <v>389</v>
      </c>
      <c r="Q160" s="9"/>
    </row>
    <row r="161" spans="3:17" ht="11.1" customHeight="1">
      <c r="C161" s="8"/>
      <c r="D161" s="4" t="s">
        <v>33</v>
      </c>
      <c r="E161" s="4" t="s">
        <v>234</v>
      </c>
      <c r="F161" s="4" t="s">
        <v>390</v>
      </c>
      <c r="G161" s="4" t="s">
        <v>38</v>
      </c>
      <c r="H161" s="4" t="s">
        <v>38</v>
      </c>
      <c r="J161" s="4" t="s">
        <v>384</v>
      </c>
      <c r="K161" s="4" t="s">
        <v>26</v>
      </c>
      <c r="M161" s="4" t="s">
        <v>244</v>
      </c>
      <c r="P161" s="4" t="s">
        <v>391</v>
      </c>
      <c r="Q161" s="9" t="s">
        <v>385</v>
      </c>
    </row>
    <row r="162" spans="3:17" ht="11.1" customHeight="1">
      <c r="C162" s="8"/>
      <c r="Q162" s="9"/>
    </row>
    <row r="163" spans="3:17" ht="11.1" customHeight="1">
      <c r="C163" s="8" t="s">
        <v>207</v>
      </c>
      <c r="D163" s="4" t="s">
        <v>105</v>
      </c>
      <c r="E163" s="4" t="s">
        <v>106</v>
      </c>
      <c r="F163" s="4" t="s">
        <v>206</v>
      </c>
      <c r="G163" s="4" t="s">
        <v>36</v>
      </c>
      <c r="H163" s="4" t="s">
        <v>36</v>
      </c>
      <c r="J163" s="4" t="s">
        <v>275</v>
      </c>
      <c r="K163" s="4" t="s">
        <v>36</v>
      </c>
      <c r="M163" s="4" t="s">
        <v>177</v>
      </c>
      <c r="N163" s="4" t="s">
        <v>215</v>
      </c>
      <c r="O163" s="4" t="s">
        <v>392</v>
      </c>
      <c r="Q163" s="9"/>
    </row>
    <row r="164" spans="3:17" ht="11.1" customHeight="1">
      <c r="C164" s="8"/>
      <c r="D164" s="4" t="s">
        <v>33</v>
      </c>
      <c r="E164" s="4" t="s">
        <v>345</v>
      </c>
      <c r="F164" s="4" t="s">
        <v>393</v>
      </c>
      <c r="G164" s="4" t="s">
        <v>26</v>
      </c>
      <c r="H164" s="4" t="s">
        <v>36</v>
      </c>
      <c r="J164" s="4" t="s">
        <v>358</v>
      </c>
      <c r="K164" s="4" t="s">
        <v>38</v>
      </c>
      <c r="N164" s="4" t="s">
        <v>125</v>
      </c>
      <c r="Q164" s="9"/>
    </row>
    <row r="165" spans="3:17" ht="11.1" customHeight="1">
      <c r="C165" s="8"/>
      <c r="D165" s="4" t="s">
        <v>33</v>
      </c>
      <c r="E165" s="4" t="s">
        <v>67</v>
      </c>
      <c r="F165" s="4" t="s">
        <v>394</v>
      </c>
      <c r="G165" s="4" t="s">
        <v>38</v>
      </c>
      <c r="H165" s="4" t="s">
        <v>38</v>
      </c>
      <c r="J165" s="4" t="s">
        <v>395</v>
      </c>
      <c r="K165" s="4" t="s">
        <v>26</v>
      </c>
      <c r="M165" s="4" t="s">
        <v>193</v>
      </c>
      <c r="P165" s="4" t="s">
        <v>396</v>
      </c>
      <c r="Q165" s="9" t="s">
        <v>397</v>
      </c>
    </row>
    <row r="166" spans="3:17" ht="11.1" customHeight="1">
      <c r="C166" s="8"/>
      <c r="Q166" s="9"/>
    </row>
    <row r="167" spans="3:17" ht="11.1" customHeight="1">
      <c r="C167" s="8" t="s">
        <v>135</v>
      </c>
      <c r="D167" s="4" t="s">
        <v>87</v>
      </c>
      <c r="E167" s="4" t="s">
        <v>130</v>
      </c>
      <c r="F167" s="4" t="s">
        <v>133</v>
      </c>
      <c r="G167" s="4" t="s">
        <v>47</v>
      </c>
      <c r="H167" s="4" t="s">
        <v>132</v>
      </c>
      <c r="J167" s="4" t="s">
        <v>323</v>
      </c>
      <c r="K167" s="4" t="s">
        <v>47</v>
      </c>
      <c r="M167" s="4" t="s">
        <v>92</v>
      </c>
      <c r="N167" s="4" t="s">
        <v>71</v>
      </c>
      <c r="O167" s="4" t="s">
        <v>64</v>
      </c>
      <c r="Q167" s="9"/>
    </row>
    <row r="168" spans="3:17" ht="11.1" customHeight="1">
      <c r="C168" s="8"/>
      <c r="D168" s="4" t="s">
        <v>33</v>
      </c>
      <c r="E168" s="4" t="s">
        <v>198</v>
      </c>
      <c r="F168" s="4" t="s">
        <v>398</v>
      </c>
      <c r="G168" s="4" t="s">
        <v>38</v>
      </c>
      <c r="H168" s="4" t="s">
        <v>38</v>
      </c>
      <c r="J168" s="4" t="s">
        <v>396</v>
      </c>
      <c r="K168" s="4" t="s">
        <v>26</v>
      </c>
      <c r="M168" s="4" t="s">
        <v>202</v>
      </c>
      <c r="P168" s="4" t="s">
        <v>399</v>
      </c>
      <c r="Q168" s="9" t="s">
        <v>400</v>
      </c>
    </row>
    <row r="169" spans="3:17" ht="11.1" customHeight="1">
      <c r="C169" s="8"/>
      <c r="Q169" s="9"/>
    </row>
    <row r="170" spans="3:17" ht="11.1" customHeight="1">
      <c r="C170" s="8" t="s">
        <v>238</v>
      </c>
      <c r="D170" s="4" t="s">
        <v>87</v>
      </c>
      <c r="E170" s="4" t="s">
        <v>88</v>
      </c>
      <c r="F170" s="4" t="s">
        <v>231</v>
      </c>
      <c r="G170" s="4" t="s">
        <v>44</v>
      </c>
      <c r="H170" s="4" t="s">
        <v>90</v>
      </c>
      <c r="J170" s="4" t="s">
        <v>401</v>
      </c>
      <c r="K170" s="4" t="s">
        <v>44</v>
      </c>
      <c r="M170" s="4" t="s">
        <v>93</v>
      </c>
      <c r="N170" s="4" t="s">
        <v>402</v>
      </c>
      <c r="O170" s="4" t="s">
        <v>230</v>
      </c>
      <c r="Q170" s="9"/>
    </row>
    <row r="171" spans="3:17" ht="11.1" customHeight="1">
      <c r="C171" s="8"/>
      <c r="D171" s="4" t="s">
        <v>33</v>
      </c>
      <c r="E171" s="4" t="s">
        <v>259</v>
      </c>
      <c r="F171" s="4" t="s">
        <v>333</v>
      </c>
      <c r="G171" s="4" t="s">
        <v>38</v>
      </c>
      <c r="H171" s="4" t="s">
        <v>38</v>
      </c>
      <c r="J171" s="4" t="s">
        <v>403</v>
      </c>
      <c r="K171" s="4" t="s">
        <v>26</v>
      </c>
      <c r="M171" s="4" t="s">
        <v>328</v>
      </c>
      <c r="Q171" s="9"/>
    </row>
    <row r="172" spans="3:17" ht="11.1" customHeight="1">
      <c r="C172" s="8"/>
      <c r="D172" s="4" t="s">
        <v>33</v>
      </c>
      <c r="E172" s="4" t="s">
        <v>34</v>
      </c>
      <c r="F172" s="4" t="s">
        <v>404</v>
      </c>
      <c r="G172" s="4" t="s">
        <v>36</v>
      </c>
      <c r="H172" s="4" t="s">
        <v>36</v>
      </c>
      <c r="J172" s="4" t="s">
        <v>405</v>
      </c>
      <c r="K172" s="4" t="s">
        <v>26</v>
      </c>
      <c r="M172" s="4" t="s">
        <v>363</v>
      </c>
      <c r="P172" s="4" t="s">
        <v>406</v>
      </c>
      <c r="Q172" s="9" t="s">
        <v>407</v>
      </c>
    </row>
    <row r="173" spans="3:17" ht="11.1" customHeight="1">
      <c r="C173" s="8"/>
      <c r="Q173" s="9"/>
    </row>
    <row r="174" spans="3:17" ht="11.1" customHeight="1">
      <c r="C174" s="8" t="s">
        <v>178</v>
      </c>
      <c r="D174" s="4" t="s">
        <v>233</v>
      </c>
      <c r="E174" s="4" t="s">
        <v>174</v>
      </c>
      <c r="F174" s="4" t="s">
        <v>176</v>
      </c>
      <c r="G174" s="4" t="s">
        <v>38</v>
      </c>
      <c r="H174" s="4" t="s">
        <v>38</v>
      </c>
      <c r="J174" s="4" t="s">
        <v>382</v>
      </c>
      <c r="K174" s="4" t="s">
        <v>38</v>
      </c>
      <c r="M174" s="4" t="s">
        <v>168</v>
      </c>
      <c r="N174" s="4" t="s">
        <v>101</v>
      </c>
      <c r="O174" s="4" t="s">
        <v>408</v>
      </c>
      <c r="Q174" s="9"/>
    </row>
    <row r="175" spans="3:17" ht="11.1" customHeight="1">
      <c r="C175" s="8"/>
      <c r="D175" s="4" t="s">
        <v>41</v>
      </c>
      <c r="E175" s="4" t="s">
        <v>121</v>
      </c>
      <c r="F175" s="4" t="s">
        <v>339</v>
      </c>
      <c r="G175" s="4" t="s">
        <v>44</v>
      </c>
      <c r="H175" s="4" t="s">
        <v>98</v>
      </c>
      <c r="J175" s="4" t="s">
        <v>383</v>
      </c>
      <c r="K175" s="4" t="s">
        <v>26</v>
      </c>
      <c r="M175" s="4" t="s">
        <v>337</v>
      </c>
      <c r="P175" s="4" t="s">
        <v>384</v>
      </c>
      <c r="Q175" s="9" t="s">
        <v>409</v>
      </c>
    </row>
    <row r="176" spans="3:17" ht="11.1" customHeight="1">
      <c r="C176" s="8"/>
      <c r="Q176" s="9"/>
    </row>
    <row r="177" spans="3:17" ht="11.1" customHeight="1">
      <c r="C177" s="8" t="s">
        <v>202</v>
      </c>
      <c r="D177" s="4" t="s">
        <v>33</v>
      </c>
      <c r="E177" s="4" t="s">
        <v>198</v>
      </c>
      <c r="F177" s="4" t="s">
        <v>200</v>
      </c>
      <c r="G177" s="4" t="s">
        <v>38</v>
      </c>
      <c r="H177" s="4" t="s">
        <v>38</v>
      </c>
      <c r="J177" s="4" t="s">
        <v>398</v>
      </c>
      <c r="K177" s="4" t="s">
        <v>38</v>
      </c>
      <c r="M177" s="4" t="s">
        <v>146</v>
      </c>
      <c r="N177" s="4" t="s">
        <v>135</v>
      </c>
      <c r="O177" s="4" t="s">
        <v>410</v>
      </c>
      <c r="Q177" s="9"/>
    </row>
    <row r="178" spans="3:17" ht="11.1" customHeight="1">
      <c r="C178" s="8"/>
      <c r="D178" s="4" t="s">
        <v>33</v>
      </c>
      <c r="E178" s="4" t="s">
        <v>169</v>
      </c>
      <c r="F178" s="4" t="s">
        <v>411</v>
      </c>
      <c r="G178" s="4" t="s">
        <v>38</v>
      </c>
      <c r="H178" s="4" t="s">
        <v>38</v>
      </c>
      <c r="J178" s="4" t="s">
        <v>412</v>
      </c>
      <c r="K178" s="4" t="s">
        <v>26</v>
      </c>
      <c r="M178" s="4" t="s">
        <v>223</v>
      </c>
      <c r="P178" s="4" t="s">
        <v>413</v>
      </c>
      <c r="Q178" s="9" t="s">
        <v>414</v>
      </c>
    </row>
    <row r="179" spans="3:17" ht="11.1" customHeight="1">
      <c r="C179" s="8"/>
      <c r="Q179" s="9"/>
    </row>
    <row r="180" spans="3:17" ht="11.1" customHeight="1">
      <c r="C180" s="8" t="s">
        <v>193</v>
      </c>
      <c r="D180" s="4" t="s">
        <v>33</v>
      </c>
      <c r="E180" s="4" t="s">
        <v>67</v>
      </c>
      <c r="F180" s="4" t="s">
        <v>192</v>
      </c>
      <c r="G180" s="4" t="s">
        <v>36</v>
      </c>
      <c r="H180" s="4" t="s">
        <v>36</v>
      </c>
      <c r="J180" s="4" t="s">
        <v>394</v>
      </c>
      <c r="K180" s="4" t="s">
        <v>38</v>
      </c>
      <c r="M180" s="4" t="s">
        <v>115</v>
      </c>
      <c r="N180" s="4" t="s">
        <v>207</v>
      </c>
      <c r="O180" s="4" t="s">
        <v>200</v>
      </c>
      <c r="Q180" s="9"/>
    </row>
    <row r="181" spans="3:17" ht="11.1" customHeight="1">
      <c r="C181" s="8"/>
      <c r="D181" s="4" t="s">
        <v>33</v>
      </c>
      <c r="E181" s="4" t="s">
        <v>73</v>
      </c>
      <c r="F181" s="4" t="s">
        <v>415</v>
      </c>
      <c r="G181" s="4" t="s">
        <v>38</v>
      </c>
      <c r="H181" s="4" t="s">
        <v>38</v>
      </c>
      <c r="J181" s="4" t="s">
        <v>399</v>
      </c>
      <c r="K181" s="4" t="s">
        <v>26</v>
      </c>
      <c r="M181" s="4" t="s">
        <v>253</v>
      </c>
      <c r="P181" s="4" t="s">
        <v>416</v>
      </c>
      <c r="Q181" s="9" t="s">
        <v>417</v>
      </c>
    </row>
    <row r="182" spans="3:17" ht="11.1" customHeight="1">
      <c r="C182" s="8"/>
      <c r="Q182" s="9"/>
    </row>
    <row r="183" spans="3:17" ht="11.1" customHeight="1">
      <c r="C183" s="8" t="s">
        <v>244</v>
      </c>
      <c r="D183" s="4" t="s">
        <v>233</v>
      </c>
      <c r="E183" s="4" t="s">
        <v>234</v>
      </c>
      <c r="F183" s="4" t="s">
        <v>243</v>
      </c>
      <c r="G183" s="4" t="s">
        <v>38</v>
      </c>
      <c r="H183" s="4" t="s">
        <v>38</v>
      </c>
      <c r="J183" s="4" t="s">
        <v>390</v>
      </c>
      <c r="K183" s="4" t="s">
        <v>38</v>
      </c>
      <c r="M183" s="4" t="s">
        <v>154</v>
      </c>
      <c r="N183" s="4" t="s">
        <v>63</v>
      </c>
      <c r="O183" s="4" t="s">
        <v>418</v>
      </c>
      <c r="Q183" s="9"/>
    </row>
    <row r="184" spans="3:17" ht="11.1" customHeight="1">
      <c r="C184" s="8"/>
      <c r="D184" s="4" t="s">
        <v>87</v>
      </c>
      <c r="E184" s="4" t="s">
        <v>212</v>
      </c>
      <c r="F184" s="4" t="s">
        <v>419</v>
      </c>
      <c r="G184" s="4" t="s">
        <v>47</v>
      </c>
      <c r="H184" s="4" t="s">
        <v>132</v>
      </c>
      <c r="J184" s="4" t="s">
        <v>420</v>
      </c>
      <c r="K184" s="4" t="s">
        <v>26</v>
      </c>
      <c r="M184" s="4" t="s">
        <v>216</v>
      </c>
      <c r="P184" s="4" t="s">
        <v>421</v>
      </c>
      <c r="Q184" s="9" t="s">
        <v>257</v>
      </c>
    </row>
    <row r="185" spans="3:17" ht="11.1" customHeight="1">
      <c r="C185" s="8"/>
      <c r="Q185" s="9"/>
    </row>
    <row r="186" spans="3:17" ht="11.1" customHeight="1">
      <c r="C186" s="8" t="s">
        <v>216</v>
      </c>
      <c r="D186" s="4" t="s">
        <v>87</v>
      </c>
      <c r="E186" s="4" t="s">
        <v>212</v>
      </c>
      <c r="F186" s="4" t="s">
        <v>214</v>
      </c>
      <c r="G186" s="4" t="s">
        <v>47</v>
      </c>
      <c r="H186" s="4" t="s">
        <v>132</v>
      </c>
      <c r="J186" s="4" t="s">
        <v>419</v>
      </c>
      <c r="K186" s="4" t="s">
        <v>47</v>
      </c>
      <c r="M186" s="4" t="s">
        <v>124</v>
      </c>
      <c r="N186" s="4" t="s">
        <v>244</v>
      </c>
      <c r="O186" s="4" t="s">
        <v>422</v>
      </c>
      <c r="Q186" s="9"/>
    </row>
    <row r="187" spans="3:17" ht="11.1" customHeight="1">
      <c r="C187" s="8"/>
      <c r="D187" s="4" t="s">
        <v>87</v>
      </c>
      <c r="E187" s="4" t="s">
        <v>130</v>
      </c>
      <c r="F187" s="4" t="s">
        <v>324</v>
      </c>
      <c r="G187" s="4" t="s">
        <v>47</v>
      </c>
      <c r="H187" s="4" t="s">
        <v>132</v>
      </c>
      <c r="J187" s="4" t="s">
        <v>420</v>
      </c>
      <c r="K187" s="4" t="s">
        <v>26</v>
      </c>
      <c r="M187" s="4" t="s">
        <v>71</v>
      </c>
      <c r="P187" s="4" t="s">
        <v>421</v>
      </c>
      <c r="Q187" s="9" t="s">
        <v>343</v>
      </c>
    </row>
    <row r="188" spans="3:17" ht="11.1" customHeight="1">
      <c r="C188" s="8"/>
      <c r="Q188" s="9"/>
    </row>
    <row r="189" spans="3:17" ht="11.1" customHeight="1">
      <c r="C189" s="8" t="s">
        <v>253</v>
      </c>
      <c r="D189" s="4" t="s">
        <v>33</v>
      </c>
      <c r="E189" s="4" t="s">
        <v>73</v>
      </c>
      <c r="F189" s="4" t="s">
        <v>252</v>
      </c>
      <c r="G189" s="4" t="s">
        <v>36</v>
      </c>
      <c r="H189" s="4" t="s">
        <v>36</v>
      </c>
      <c r="J189" s="4" t="s">
        <v>415</v>
      </c>
      <c r="K189" s="4" t="s">
        <v>38</v>
      </c>
      <c r="M189" s="4" t="s">
        <v>77</v>
      </c>
      <c r="N189" s="4" t="s">
        <v>193</v>
      </c>
      <c r="O189" s="4" t="s">
        <v>423</v>
      </c>
      <c r="Q189" s="9"/>
    </row>
    <row r="190" spans="3:17" ht="11.1" customHeight="1">
      <c r="C190" s="8"/>
      <c r="D190" s="4" t="s">
        <v>81</v>
      </c>
      <c r="E190" s="4" t="s">
        <v>151</v>
      </c>
      <c r="F190" s="4" t="s">
        <v>305</v>
      </c>
      <c r="G190" s="4" t="s">
        <v>47</v>
      </c>
      <c r="H190" s="4" t="s">
        <v>153</v>
      </c>
      <c r="J190" s="4" t="s">
        <v>424</v>
      </c>
      <c r="K190" s="4" t="s">
        <v>44</v>
      </c>
      <c r="M190" s="4" t="s">
        <v>85</v>
      </c>
      <c r="N190" s="4" t="s">
        <v>402</v>
      </c>
      <c r="P190" s="4" t="s">
        <v>425</v>
      </c>
      <c r="Q190" s="9" t="s">
        <v>426</v>
      </c>
    </row>
    <row r="191" spans="3:17" ht="11.1" customHeight="1">
      <c r="C191" s="8"/>
      <c r="Q191" s="9"/>
    </row>
    <row r="192" spans="3:17" ht="11.1" customHeight="1">
      <c r="C192" s="8" t="s">
        <v>223</v>
      </c>
      <c r="D192" s="4" t="s">
        <v>33</v>
      </c>
      <c r="E192" s="4" t="s">
        <v>169</v>
      </c>
      <c r="F192" s="4" t="s">
        <v>222</v>
      </c>
      <c r="G192" s="4" t="s">
        <v>36</v>
      </c>
      <c r="H192" s="4" t="s">
        <v>36</v>
      </c>
      <c r="J192" s="4" t="s">
        <v>411</v>
      </c>
      <c r="K192" s="4" t="s">
        <v>38</v>
      </c>
      <c r="M192" s="4" t="s">
        <v>201</v>
      </c>
      <c r="N192" s="4" t="s">
        <v>202</v>
      </c>
      <c r="O192" s="4" t="s">
        <v>427</v>
      </c>
      <c r="Q192" s="9"/>
    </row>
    <row r="193" spans="3:17" ht="11.1" customHeight="1">
      <c r="C193" s="8"/>
      <c r="D193" s="4" t="s">
        <v>81</v>
      </c>
      <c r="E193" s="4" t="s">
        <v>54</v>
      </c>
      <c r="F193" s="4" t="s">
        <v>428</v>
      </c>
      <c r="G193" s="4" t="s">
        <v>47</v>
      </c>
      <c r="H193" s="4" t="s">
        <v>153</v>
      </c>
      <c r="J193" s="4" t="s">
        <v>429</v>
      </c>
      <c r="K193" s="4" t="s">
        <v>26</v>
      </c>
      <c r="M193" s="4" t="s">
        <v>379</v>
      </c>
      <c r="P193" s="4" t="s">
        <v>430</v>
      </c>
      <c r="Q193" s="9" t="s">
        <v>431</v>
      </c>
    </row>
    <row r="194" spans="3:17" ht="11.1" customHeight="1">
      <c r="C194" s="8"/>
      <c r="Q194" s="9"/>
    </row>
    <row r="195" spans="3:17" ht="11.1" customHeight="1">
      <c r="C195" s="8" t="s">
        <v>363</v>
      </c>
      <c r="D195" s="4" t="s">
        <v>33</v>
      </c>
      <c r="E195" s="4" t="s">
        <v>34</v>
      </c>
      <c r="F195" s="4" t="s">
        <v>362</v>
      </c>
      <c r="G195" s="4" t="s">
        <v>36</v>
      </c>
      <c r="H195" s="4" t="s">
        <v>36</v>
      </c>
      <c r="J195" s="4" t="s">
        <v>404</v>
      </c>
      <c r="K195" s="4" t="s">
        <v>36</v>
      </c>
      <c r="M195" s="4" t="s">
        <v>186</v>
      </c>
      <c r="N195" s="4" t="s">
        <v>238</v>
      </c>
      <c r="O195" s="4" t="s">
        <v>432</v>
      </c>
      <c r="Q195" s="9"/>
    </row>
    <row r="196" spans="3:17" ht="11.1" customHeight="1">
      <c r="C196" s="8"/>
      <c r="D196" s="4" t="s">
        <v>105</v>
      </c>
      <c r="E196" s="4" t="s">
        <v>106</v>
      </c>
      <c r="F196" s="4" t="s">
        <v>433</v>
      </c>
      <c r="G196" s="4" t="s">
        <v>36</v>
      </c>
      <c r="H196" s="4" t="s">
        <v>36</v>
      </c>
      <c r="J196" s="4" t="s">
        <v>434</v>
      </c>
      <c r="K196" s="4" t="s">
        <v>26</v>
      </c>
      <c r="M196" s="4" t="s">
        <v>277</v>
      </c>
      <c r="P196" s="4" t="s">
        <v>435</v>
      </c>
      <c r="Q196" s="9" t="s">
        <v>180</v>
      </c>
    </row>
    <row r="197" spans="3:17" ht="11.1" customHeight="1">
      <c r="C197" s="8"/>
      <c r="Q197" s="9"/>
    </row>
    <row r="198" spans="3:17" ht="11.1" customHeight="1">
      <c r="C198" s="8" t="s">
        <v>379</v>
      </c>
      <c r="D198" s="4" t="s">
        <v>81</v>
      </c>
      <c r="E198" s="4" t="s">
        <v>54</v>
      </c>
      <c r="F198" s="4" t="s">
        <v>378</v>
      </c>
      <c r="G198" s="4" t="s">
        <v>44</v>
      </c>
      <c r="H198" s="4" t="s">
        <v>241</v>
      </c>
      <c r="J198" s="4" t="s">
        <v>428</v>
      </c>
      <c r="K198" s="4" t="s">
        <v>47</v>
      </c>
      <c r="M198" s="4" t="s">
        <v>310</v>
      </c>
      <c r="N198" s="4" t="s">
        <v>223</v>
      </c>
      <c r="O198" s="4" t="s">
        <v>304</v>
      </c>
      <c r="Q198" s="9"/>
    </row>
    <row r="199" spans="3:17" ht="11.1" customHeight="1">
      <c r="C199" s="8"/>
      <c r="D199" s="4" t="s">
        <v>41</v>
      </c>
      <c r="E199" s="4" t="s">
        <v>42</v>
      </c>
      <c r="F199" s="4" t="s">
        <v>436</v>
      </c>
      <c r="G199" s="4" t="s">
        <v>47</v>
      </c>
      <c r="H199" s="4" t="s">
        <v>119</v>
      </c>
      <c r="J199" s="4" t="s">
        <v>437</v>
      </c>
      <c r="K199" s="4" t="s">
        <v>26</v>
      </c>
      <c r="M199" s="4" t="s">
        <v>369</v>
      </c>
      <c r="P199" s="4" t="s">
        <v>438</v>
      </c>
      <c r="Q199" s="9" t="s">
        <v>43</v>
      </c>
    </row>
    <row r="200" spans="3:17" ht="11.1" customHeight="1">
      <c r="C200" s="8"/>
      <c r="Q200" s="9"/>
    </row>
    <row r="201" spans="3:17" ht="11.1" customHeight="1">
      <c r="C201" s="8" t="s">
        <v>369</v>
      </c>
      <c r="D201" s="4" t="s">
        <v>41</v>
      </c>
      <c r="E201" s="4" t="s">
        <v>42</v>
      </c>
      <c r="F201" s="4" t="s">
        <v>317</v>
      </c>
      <c r="G201" s="4" t="s">
        <v>47</v>
      </c>
      <c r="H201" s="4" t="s">
        <v>119</v>
      </c>
      <c r="J201" s="4" t="s">
        <v>436</v>
      </c>
      <c r="K201" s="4" t="s">
        <v>47</v>
      </c>
      <c r="M201" s="4" t="s">
        <v>49</v>
      </c>
      <c r="N201" s="4" t="s">
        <v>379</v>
      </c>
      <c r="O201" s="4" t="s">
        <v>439</v>
      </c>
      <c r="Q201" s="9"/>
    </row>
    <row r="202" spans="3:17" ht="11.1" customHeight="1">
      <c r="C202" s="8"/>
      <c r="D202" s="4" t="s">
        <v>41</v>
      </c>
      <c r="E202" s="4" t="s">
        <v>59</v>
      </c>
      <c r="F202" s="4" t="s">
        <v>440</v>
      </c>
      <c r="G202" s="4" t="s">
        <v>47</v>
      </c>
      <c r="H202" s="4" t="s">
        <v>119</v>
      </c>
      <c r="J202" s="4" t="s">
        <v>441</v>
      </c>
      <c r="K202" s="4" t="s">
        <v>26</v>
      </c>
      <c r="M202" s="4" t="s">
        <v>388</v>
      </c>
      <c r="P202" s="4" t="s">
        <v>442</v>
      </c>
      <c r="Q202" s="9" t="s">
        <v>218</v>
      </c>
    </row>
    <row r="203" spans="3:17" ht="11.1" customHeight="1">
      <c r="C203" s="8"/>
      <c r="Q203" s="9"/>
    </row>
    <row r="204" spans="3:17" ht="11.1" customHeight="1">
      <c r="C204" s="8" t="s">
        <v>388</v>
      </c>
      <c r="D204" s="4" t="s">
        <v>41</v>
      </c>
      <c r="E204" s="4" t="s">
        <v>59</v>
      </c>
      <c r="F204" s="4" t="s">
        <v>387</v>
      </c>
      <c r="G204" s="4" t="s">
        <v>47</v>
      </c>
      <c r="H204" s="4" t="s">
        <v>119</v>
      </c>
      <c r="J204" s="4" t="s">
        <v>440</v>
      </c>
      <c r="K204" s="4" t="s">
        <v>47</v>
      </c>
      <c r="M204" s="4" t="s">
        <v>63</v>
      </c>
      <c r="N204" s="4" t="s">
        <v>369</v>
      </c>
      <c r="O204" s="4" t="s">
        <v>443</v>
      </c>
      <c r="Q204" s="9"/>
    </row>
    <row r="205" spans="3:17" ht="11.1" customHeight="1">
      <c r="C205" s="8"/>
      <c r="D205" s="4" t="s">
        <v>87</v>
      </c>
      <c r="E205" s="4" t="s">
        <v>88</v>
      </c>
      <c r="F205" s="4" t="s">
        <v>444</v>
      </c>
      <c r="G205" s="4" t="s">
        <v>47</v>
      </c>
      <c r="H205" s="4" t="s">
        <v>132</v>
      </c>
      <c r="J205" s="4" t="s">
        <v>445</v>
      </c>
      <c r="K205" s="4" t="s">
        <v>26</v>
      </c>
      <c r="M205" s="4" t="s">
        <v>402</v>
      </c>
      <c r="P205" s="4" t="s">
        <v>446</v>
      </c>
      <c r="Q205" s="9" t="s">
        <v>89</v>
      </c>
    </row>
    <row r="206" spans="3:17" ht="11.1" customHeight="1">
      <c r="C206" s="8"/>
      <c r="Q206" s="9"/>
    </row>
    <row r="207" spans="3:17" ht="11.1" customHeight="1">
      <c r="C207" s="8" t="s">
        <v>277</v>
      </c>
      <c r="D207" s="4" t="s">
        <v>105</v>
      </c>
      <c r="E207" s="4" t="s">
        <v>106</v>
      </c>
      <c r="F207" s="4" t="s">
        <v>276</v>
      </c>
      <c r="G207" s="4" t="s">
        <v>36</v>
      </c>
      <c r="H207" s="4" t="s">
        <v>36</v>
      </c>
      <c r="J207" s="4" t="s">
        <v>433</v>
      </c>
      <c r="K207" s="4" t="s">
        <v>36</v>
      </c>
      <c r="M207" s="4" t="s">
        <v>215</v>
      </c>
      <c r="N207" s="4" t="s">
        <v>363</v>
      </c>
      <c r="O207" s="4" t="s">
        <v>447</v>
      </c>
      <c r="Q207" s="9"/>
    </row>
    <row r="208" spans="3:17" ht="11.1" customHeight="1">
      <c r="C208" s="8"/>
      <c r="D208" s="4" t="s">
        <v>33</v>
      </c>
      <c r="E208" s="4" t="s">
        <v>112</v>
      </c>
      <c r="F208" s="4" t="s">
        <v>376</v>
      </c>
      <c r="G208" s="4" t="s">
        <v>36</v>
      </c>
      <c r="H208" s="4" t="s">
        <v>36</v>
      </c>
      <c r="J208" s="4" t="s">
        <v>448</v>
      </c>
      <c r="K208" s="4" t="s">
        <v>26</v>
      </c>
      <c r="M208" s="4" t="s">
        <v>147</v>
      </c>
      <c r="P208" s="4" t="s">
        <v>449</v>
      </c>
      <c r="Q208" s="9" t="s">
        <v>65</v>
      </c>
    </row>
    <row r="209" spans="3:17" ht="11.1" customHeight="1">
      <c r="C209" s="8"/>
      <c r="Q209" s="9"/>
    </row>
    <row r="210" spans="3:17" ht="11.1" customHeight="1">
      <c r="C210" s="8" t="s">
        <v>402</v>
      </c>
      <c r="D210" s="4" t="s">
        <v>87</v>
      </c>
      <c r="E210" s="4" t="s">
        <v>88</v>
      </c>
      <c r="F210" s="4" t="s">
        <v>401</v>
      </c>
      <c r="G210" s="4" t="s">
        <v>44</v>
      </c>
      <c r="H210" s="4" t="s">
        <v>90</v>
      </c>
      <c r="J210" s="4" t="s">
        <v>444</v>
      </c>
      <c r="K210" s="4" t="s">
        <v>47</v>
      </c>
      <c r="M210" s="4" t="s">
        <v>238</v>
      </c>
      <c r="N210" s="4" t="s">
        <v>388</v>
      </c>
      <c r="O210" s="4" t="s">
        <v>450</v>
      </c>
      <c r="Q210" s="9"/>
    </row>
    <row r="211" spans="3:17" ht="11.1" customHeight="1">
      <c r="C211" s="8"/>
      <c r="D211" s="4" t="s">
        <v>81</v>
      </c>
      <c r="E211" s="4" t="s">
        <v>151</v>
      </c>
      <c r="F211" s="4" t="s">
        <v>424</v>
      </c>
      <c r="G211" s="4" t="s">
        <v>44</v>
      </c>
      <c r="H211" s="4" t="s">
        <v>241</v>
      </c>
      <c r="J211" s="4" t="s">
        <v>451</v>
      </c>
      <c r="K211" s="4" t="s">
        <v>26</v>
      </c>
      <c r="M211" s="4" t="s">
        <v>253</v>
      </c>
      <c r="P211" s="4" t="s">
        <v>452</v>
      </c>
      <c r="Q211" s="9" t="s">
        <v>453</v>
      </c>
    </row>
    <row r="212" spans="3:17" ht="11.1" customHeight="1">
      <c r="C212" s="8"/>
      <c r="Q212" s="9"/>
    </row>
    <row r="213" spans="3:17" ht="11.1" customHeight="1">
      <c r="C213" s="8" t="s">
        <v>454</v>
      </c>
      <c r="D213" s="4" t="s">
        <v>33</v>
      </c>
      <c r="E213" s="4" t="s">
        <v>455</v>
      </c>
      <c r="F213" s="4" t="s">
        <v>456</v>
      </c>
      <c r="G213" s="4" t="s">
        <v>26</v>
      </c>
      <c r="H213" s="4" t="s">
        <v>36</v>
      </c>
      <c r="J213" s="4" t="s">
        <v>457</v>
      </c>
      <c r="K213" s="4" t="s">
        <v>69</v>
      </c>
      <c r="O213" s="4" t="s">
        <v>458</v>
      </c>
      <c r="Q213" s="9"/>
    </row>
    <row r="214" spans="3:17" ht="11.1" customHeight="1">
      <c r="C214" s="5"/>
      <c r="D214" s="6" t="s">
        <v>459</v>
      </c>
      <c r="E214" s="6"/>
      <c r="F214" s="6" t="s">
        <v>457</v>
      </c>
      <c r="G214" s="6" t="s">
        <v>69</v>
      </c>
      <c r="H214" s="6"/>
      <c r="I214" s="6"/>
      <c r="J214" s="6" t="s">
        <v>1065</v>
      </c>
      <c r="K214" s="6" t="s">
        <v>26</v>
      </c>
      <c r="L214" s="6"/>
      <c r="M214" s="6"/>
      <c r="N214" s="6"/>
      <c r="O214" s="6"/>
      <c r="P214" s="6" t="s">
        <v>460</v>
      </c>
      <c r="Q214" s="7" t="s">
        <v>461</v>
      </c>
    </row>
  </sheetData>
  <mergeCells count="15">
    <mergeCell ref="C1:F1"/>
    <mergeCell ref="C3:F3"/>
    <mergeCell ref="O3:Q3"/>
    <mergeCell ref="G1:O1"/>
    <mergeCell ref="G3:N3"/>
    <mergeCell ref="C74:F74"/>
    <mergeCell ref="G74:O74"/>
    <mergeCell ref="C76:F76"/>
    <mergeCell ref="G76:N76"/>
    <mergeCell ref="O76:Q76"/>
    <mergeCell ref="C146:F146"/>
    <mergeCell ref="G146:O146"/>
    <mergeCell ref="C148:F148"/>
    <mergeCell ref="G148:N148"/>
    <mergeCell ref="O148:Q148"/>
  </mergeCells>
  <phoneticPr fontId="0" type="noConversion"/>
  <pageMargins left="0.19685039370078741" right="0.19685039370078741" top="0.19685039370078741" bottom="0.39370078740157483" header="0.19685039370078741" footer="0.19685039370078741"/>
  <pageSetup paperSize="9" orientation="portrait" r:id="rId1"/>
  <headerFooter alignWithMargins="0">
    <oddFooter>&amp;L&amp;8&amp;D  &amp;T  &amp;F &amp;R&amp;8  Seite &amp;P/&amp;N</oddFooter>
  </headerFooter>
  <rowBreaks count="2" manualBreakCount="2">
    <brk id="73" max="16383" man="1"/>
    <brk id="14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C4531-01C7-43D5-BAF4-7358D6A7B901}">
  <sheetPr>
    <pageSetUpPr fitToPage="1"/>
  </sheetPr>
  <dimension ref="A1:AE254"/>
  <sheetViews>
    <sheetView topLeftCell="A201" zoomScale="55" zoomScaleNormal="55" workbookViewId="0">
      <selection activeCell="O228" sqref="O228"/>
    </sheetView>
  </sheetViews>
  <sheetFormatPr baseColWidth="10" defaultRowHeight="13.2"/>
  <cols>
    <col min="16" max="17" width="1.77734375" customWidth="1"/>
    <col min="18" max="18" width="12.109375" style="83" customWidth="1"/>
    <col min="19" max="19" width="15" style="4" customWidth="1"/>
    <col min="20" max="20" width="40.44140625" style="4" customWidth="1"/>
    <col min="21" max="21" width="16.6640625" style="4" customWidth="1"/>
    <col min="22" max="23" width="15" style="4" customWidth="1"/>
    <col min="24" max="24" width="11.5546875" style="4"/>
    <col min="25" max="25" width="14.44140625" style="4" customWidth="1"/>
    <col min="26" max="26" width="21.33203125" style="4" customWidth="1"/>
    <col min="27" max="27" width="16.6640625" style="77" customWidth="1"/>
    <col min="28" max="28" width="6.77734375" style="4" hidden="1" customWidth="1"/>
    <col min="29" max="29" width="5.33203125" style="4" hidden="1" customWidth="1"/>
    <col min="30" max="30" width="9.109375" style="4" hidden="1" customWidth="1"/>
    <col min="31" max="31" width="8.44140625" style="83" hidden="1" customWidth="1"/>
  </cols>
  <sheetData>
    <row r="1" spans="1:31">
      <c r="A1" s="113" t="s">
        <v>11</v>
      </c>
      <c r="B1" s="114"/>
      <c r="C1" s="114"/>
      <c r="D1" s="115"/>
      <c r="E1" s="113" t="s">
        <v>1064</v>
      </c>
      <c r="F1" s="114"/>
      <c r="G1" s="114"/>
      <c r="H1" s="114"/>
      <c r="I1" s="114"/>
      <c r="J1" s="114"/>
      <c r="K1" s="114"/>
      <c r="L1" s="114"/>
      <c r="M1" s="115"/>
      <c r="N1" s="41" t="s">
        <v>19</v>
      </c>
      <c r="O1" s="42">
        <v>1</v>
      </c>
      <c r="P1" s="52"/>
      <c r="R1" s="53" t="s">
        <v>1068</v>
      </c>
      <c r="S1" s="54" t="s">
        <v>1113</v>
      </c>
      <c r="T1" s="54" t="s">
        <v>1069</v>
      </c>
      <c r="U1" s="55" t="s">
        <v>1070</v>
      </c>
      <c r="V1" s="56" t="s">
        <v>1071</v>
      </c>
      <c r="W1" s="57" t="s">
        <v>1068</v>
      </c>
      <c r="X1" s="58" t="s">
        <v>503</v>
      </c>
      <c r="Y1" s="59" t="s">
        <v>1072</v>
      </c>
      <c r="Z1" s="116" t="s">
        <v>1073</v>
      </c>
      <c r="AA1" s="119" t="s">
        <v>1074</v>
      </c>
      <c r="AB1" s="2"/>
      <c r="AC1" s="2"/>
      <c r="AD1" s="2"/>
      <c r="AE1" s="60" t="s">
        <v>1075</v>
      </c>
    </row>
    <row r="2" spans="1:31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52"/>
      <c r="R2" s="61"/>
      <c r="S2" s="2"/>
      <c r="T2" s="2"/>
      <c r="U2" s="62"/>
      <c r="V2" s="63"/>
      <c r="W2" s="64"/>
      <c r="X2" s="65"/>
      <c r="Y2" s="66">
        <f t="shared" ref="Y2:Y65" si="0">H2-D2+(H2&lt;D2)</f>
        <v>0</v>
      </c>
      <c r="Z2" s="117"/>
      <c r="AA2" s="120"/>
      <c r="AB2" s="2"/>
      <c r="AC2" s="2"/>
      <c r="AD2" s="2"/>
      <c r="AE2" s="60"/>
    </row>
    <row r="3" spans="1:31">
      <c r="A3" s="122" t="s">
        <v>18</v>
      </c>
      <c r="B3" s="122"/>
      <c r="C3" s="122"/>
      <c r="D3" s="122"/>
      <c r="E3" s="113" t="s">
        <v>1067</v>
      </c>
      <c r="F3" s="114"/>
      <c r="G3" s="114"/>
      <c r="H3" s="114"/>
      <c r="I3" s="114"/>
      <c r="J3" s="114"/>
      <c r="K3" s="114"/>
      <c r="L3" s="115"/>
      <c r="M3" s="113" t="s">
        <v>22</v>
      </c>
      <c r="N3" s="123"/>
      <c r="O3" s="115"/>
      <c r="P3" s="52"/>
      <c r="R3" s="61"/>
      <c r="S3" s="2"/>
      <c r="T3" s="2"/>
      <c r="U3" s="62"/>
      <c r="V3" s="63"/>
      <c r="W3" s="64"/>
      <c r="X3" s="65"/>
      <c r="Y3" s="66">
        <f t="shared" si="0"/>
        <v>0</v>
      </c>
      <c r="Z3" s="117"/>
      <c r="AA3" s="120"/>
      <c r="AB3" s="67" t="s">
        <v>1076</v>
      </c>
      <c r="AC3" s="68"/>
      <c r="AD3" s="2"/>
      <c r="AE3" s="60"/>
    </row>
    <row r="4" spans="1:31">
      <c r="A4" s="44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52"/>
      <c r="R4" s="69">
        <f t="shared" ref="R4:R67" si="1">A4</f>
        <v>0</v>
      </c>
      <c r="U4" s="62"/>
      <c r="V4" s="63"/>
      <c r="W4" s="64"/>
      <c r="X4" s="65"/>
      <c r="Y4" s="66">
        <f t="shared" si="0"/>
        <v>0</v>
      </c>
      <c r="Z4" s="117"/>
      <c r="AA4" s="120"/>
      <c r="AB4" s="70"/>
      <c r="AC4" s="71"/>
      <c r="AE4" s="72" t="str">
        <f t="shared" ref="AE4:AE67" si="2">IF(O4&gt;="08:31",O4,"")</f>
        <v/>
      </c>
    </row>
    <row r="5" spans="1:31">
      <c r="A5" s="45" t="s">
        <v>0</v>
      </c>
      <c r="B5" s="46" t="s">
        <v>1</v>
      </c>
      <c r="C5" s="46" t="s">
        <v>3</v>
      </c>
      <c r="D5" s="46" t="s">
        <v>12</v>
      </c>
      <c r="E5" s="46" t="s">
        <v>14</v>
      </c>
      <c r="F5" s="46" t="s">
        <v>15</v>
      </c>
      <c r="G5" s="46"/>
      <c r="H5" s="46" t="s">
        <v>16</v>
      </c>
      <c r="I5" s="46" t="s">
        <v>14</v>
      </c>
      <c r="J5" s="46"/>
      <c r="K5" s="46" t="s">
        <v>4</v>
      </c>
      <c r="L5" s="46" t="s">
        <v>6</v>
      </c>
      <c r="M5" s="46" t="s">
        <v>0</v>
      </c>
      <c r="N5" s="46" t="s">
        <v>0</v>
      </c>
      <c r="O5" s="47" t="s">
        <v>21</v>
      </c>
      <c r="P5" s="52"/>
      <c r="R5" s="69" t="str">
        <f t="shared" si="1"/>
        <v>Dienst-</v>
      </c>
      <c r="U5" s="62"/>
      <c r="V5" s="63"/>
      <c r="W5" s="64"/>
      <c r="X5" s="65"/>
      <c r="Y5" s="66" t="e">
        <f t="shared" si="0"/>
        <v>#VALUE!</v>
      </c>
      <c r="Z5" s="117"/>
      <c r="AA5" s="120"/>
      <c r="AB5" s="73" t="s">
        <v>385</v>
      </c>
      <c r="AC5" s="71" t="s">
        <v>1077</v>
      </c>
      <c r="AE5" s="72" t="str">
        <f t="shared" si="2"/>
        <v>bez.</v>
      </c>
    </row>
    <row r="6" spans="1:31" ht="13.8" thickBot="1">
      <c r="A6" s="48" t="s">
        <v>2</v>
      </c>
      <c r="B6" s="49"/>
      <c r="C6" s="49"/>
      <c r="D6" s="49" t="s">
        <v>13</v>
      </c>
      <c r="E6" s="49"/>
      <c r="F6" s="49"/>
      <c r="G6" s="49"/>
      <c r="H6" s="49" t="s">
        <v>13</v>
      </c>
      <c r="I6" s="49"/>
      <c r="J6" s="49"/>
      <c r="K6" s="49" t="s">
        <v>5</v>
      </c>
      <c r="L6" s="49" t="s">
        <v>5</v>
      </c>
      <c r="M6" s="49" t="s">
        <v>7</v>
      </c>
      <c r="N6" s="49" t="s">
        <v>8</v>
      </c>
      <c r="O6" s="50" t="s">
        <v>17</v>
      </c>
      <c r="P6" s="52"/>
      <c r="R6" s="69" t="str">
        <f t="shared" si="1"/>
        <v>Nr.</v>
      </c>
      <c r="U6" s="62"/>
      <c r="V6" s="63"/>
      <c r="W6" s="64"/>
      <c r="X6" s="65"/>
      <c r="Y6" s="66" t="e">
        <f t="shared" si="0"/>
        <v>#VALUE!</v>
      </c>
      <c r="Z6" s="118"/>
      <c r="AA6" s="121"/>
      <c r="AB6" s="74" t="s">
        <v>1078</v>
      </c>
      <c r="AC6" s="71" t="s">
        <v>1079</v>
      </c>
      <c r="AE6" s="72" t="str">
        <f t="shared" si="2"/>
        <v>Zeit</v>
      </c>
    </row>
    <row r="7" spans="1:31" ht="13.05" customHeight="1">
      <c r="A7" s="8" t="s">
        <v>23</v>
      </c>
      <c r="B7" s="4" t="s">
        <v>24</v>
      </c>
      <c r="C7" s="4"/>
      <c r="D7" s="4" t="s">
        <v>25</v>
      </c>
      <c r="E7" s="4" t="s">
        <v>26</v>
      </c>
      <c r="F7" s="4"/>
      <c r="G7" s="4"/>
      <c r="H7" s="4" t="s">
        <v>27</v>
      </c>
      <c r="I7" s="4"/>
      <c r="J7" s="4"/>
      <c r="K7" s="4"/>
      <c r="L7" s="4"/>
      <c r="M7" s="4" t="s">
        <v>25</v>
      </c>
      <c r="N7" s="4" t="s">
        <v>27</v>
      </c>
      <c r="O7" s="9" t="s">
        <v>28</v>
      </c>
      <c r="P7" s="52"/>
      <c r="R7" s="69" t="str">
        <f t="shared" si="1"/>
        <v>2201</v>
      </c>
      <c r="S7" s="4" t="s">
        <v>1112</v>
      </c>
      <c r="U7" s="62"/>
      <c r="V7" s="63"/>
      <c r="W7" s="75">
        <f t="shared" ref="W7:W70" si="3">A7-0</f>
        <v>2201</v>
      </c>
      <c r="X7" s="65"/>
      <c r="Y7" s="66">
        <f t="shared" si="0"/>
        <v>0.375</v>
      </c>
      <c r="Z7" s="76">
        <f>IF((Y7-AB14)&lt;0,"",(Y7-AB14))</f>
        <v>0.1875</v>
      </c>
      <c r="AA7" s="77" t="str">
        <f t="shared" ref="AA7:AA70" si="4">IF(OR(M7="",H7=""),"",IF((TIMEVALUE(H7)-TIMEVALUE(M7))&lt;TIME(3,30,0),"Pause zu früh",IF((TIMEVALUE(H7)-TIMEVALUE(M7))&gt;TIME(4,30,0),"Pause zu spät","Alles OK")))</f>
        <v>Pause zu spät</v>
      </c>
      <c r="AB7" s="68" t="s">
        <v>1080</v>
      </c>
      <c r="AC7" s="71" t="s">
        <v>1081</v>
      </c>
      <c r="AE7" s="72" t="str">
        <f t="shared" si="2"/>
        <v>09:00</v>
      </c>
    </row>
    <row r="8" spans="1:31" ht="13.05" customHeight="1">
      <c r="A8" s="8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9"/>
      <c r="P8" s="52"/>
      <c r="R8" s="69">
        <f t="shared" si="1"/>
        <v>0</v>
      </c>
      <c r="U8" s="62"/>
      <c r="V8" s="63"/>
      <c r="W8" s="75">
        <f t="shared" si="3"/>
        <v>0</v>
      </c>
      <c r="X8" s="65"/>
      <c r="Y8" s="66">
        <f t="shared" si="0"/>
        <v>0</v>
      </c>
      <c r="Z8" s="76" t="str">
        <f t="shared" ref="Z8:Z71" si="5">IF((Y8-$AB$14)&lt;0,"",(Y8-$AB$14))</f>
        <v/>
      </c>
      <c r="AA8" s="77" t="str">
        <f t="shared" si="4"/>
        <v/>
      </c>
      <c r="AB8" s="78" t="s">
        <v>1082</v>
      </c>
      <c r="AC8" s="71"/>
      <c r="AE8" s="72" t="str">
        <f t="shared" si="2"/>
        <v/>
      </c>
    </row>
    <row r="9" spans="1:31" ht="13.05" customHeight="1">
      <c r="A9" s="8" t="s">
        <v>29</v>
      </c>
      <c r="B9" s="4" t="s">
        <v>24</v>
      </c>
      <c r="C9" s="4"/>
      <c r="D9" s="4" t="s">
        <v>30</v>
      </c>
      <c r="E9" s="4" t="s">
        <v>26</v>
      </c>
      <c r="F9" s="4"/>
      <c r="G9" s="4"/>
      <c r="H9" s="4" t="s">
        <v>31</v>
      </c>
      <c r="I9" s="4"/>
      <c r="J9" s="4"/>
      <c r="K9" s="4"/>
      <c r="L9" s="4"/>
      <c r="M9" s="4" t="s">
        <v>30</v>
      </c>
      <c r="N9" s="4" t="s">
        <v>31</v>
      </c>
      <c r="O9" s="9" t="s">
        <v>28</v>
      </c>
      <c r="P9" s="52"/>
      <c r="R9" s="69" t="str">
        <f t="shared" si="1"/>
        <v>2202</v>
      </c>
      <c r="S9" s="4" t="s">
        <v>1112</v>
      </c>
      <c r="U9" s="62"/>
      <c r="V9" s="63"/>
      <c r="W9" s="75">
        <f t="shared" si="3"/>
        <v>2202</v>
      </c>
      <c r="X9" s="65"/>
      <c r="Y9" s="66">
        <f t="shared" si="0"/>
        <v>0.375</v>
      </c>
      <c r="Z9" s="76">
        <f t="shared" si="5"/>
        <v>0.1875</v>
      </c>
      <c r="AA9" s="77" t="str">
        <f t="shared" si="4"/>
        <v>Pause zu spät</v>
      </c>
      <c r="AB9" s="71" t="s">
        <v>385</v>
      </c>
      <c r="AC9" s="71"/>
      <c r="AE9" s="72" t="str">
        <f t="shared" si="2"/>
        <v>09:00</v>
      </c>
    </row>
    <row r="10" spans="1:31" ht="13.05" customHeight="1">
      <c r="A10" s="8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9"/>
      <c r="P10" s="52"/>
      <c r="R10" s="69">
        <f t="shared" si="1"/>
        <v>0</v>
      </c>
      <c r="U10" s="62"/>
      <c r="V10" s="63"/>
      <c r="W10" s="75">
        <f t="shared" si="3"/>
        <v>0</v>
      </c>
      <c r="X10" s="65"/>
      <c r="Y10" s="66">
        <f t="shared" si="0"/>
        <v>0</v>
      </c>
      <c r="Z10" s="76" t="str">
        <f t="shared" si="5"/>
        <v/>
      </c>
      <c r="AA10" s="77" t="str">
        <f t="shared" si="4"/>
        <v/>
      </c>
      <c r="AB10" s="71"/>
      <c r="AC10" s="71"/>
      <c r="AE10" s="72" t="str">
        <f t="shared" si="2"/>
        <v/>
      </c>
    </row>
    <row r="11" spans="1:31" ht="13.05" customHeight="1">
      <c r="A11" s="8" t="s">
        <v>32</v>
      </c>
      <c r="B11" s="4" t="s">
        <v>33</v>
      </c>
      <c r="C11" s="4" t="s">
        <v>34</v>
      </c>
      <c r="D11" s="4" t="s">
        <v>35</v>
      </c>
      <c r="E11" s="4" t="s">
        <v>26</v>
      </c>
      <c r="F11" s="4" t="s">
        <v>36</v>
      </c>
      <c r="G11" s="4"/>
      <c r="H11" s="4" t="s">
        <v>37</v>
      </c>
      <c r="I11" s="4" t="s">
        <v>38</v>
      </c>
      <c r="J11" s="4"/>
      <c r="K11" s="4"/>
      <c r="L11" s="4" t="s">
        <v>39</v>
      </c>
      <c r="M11" s="4" t="s">
        <v>40</v>
      </c>
      <c r="N11" s="4"/>
      <c r="O11" s="9"/>
      <c r="P11" s="52"/>
      <c r="R11" s="69" t="str">
        <f t="shared" si="1"/>
        <v>2211</v>
      </c>
      <c r="S11" s="4" t="s">
        <v>1112</v>
      </c>
      <c r="U11" s="62"/>
      <c r="V11" s="63"/>
      <c r="W11" s="75">
        <f t="shared" si="3"/>
        <v>2211</v>
      </c>
      <c r="X11" s="65"/>
      <c r="Y11" s="66">
        <f t="shared" si="0"/>
        <v>0.1736111111111111</v>
      </c>
      <c r="Z11" s="76" t="str">
        <f t="shared" si="5"/>
        <v/>
      </c>
      <c r="AA11" s="77" t="str">
        <f t="shared" si="4"/>
        <v>Alles OK</v>
      </c>
      <c r="AB11" s="71"/>
      <c r="AC11" s="71"/>
      <c r="AE11" s="72" t="str">
        <f t="shared" si="2"/>
        <v/>
      </c>
    </row>
    <row r="12" spans="1:31" ht="13.05" customHeight="1">
      <c r="A12" s="8"/>
      <c r="B12" s="4" t="s">
        <v>41</v>
      </c>
      <c r="C12" s="4" t="s">
        <v>42</v>
      </c>
      <c r="D12" s="4" t="s">
        <v>43</v>
      </c>
      <c r="E12" s="4" t="s">
        <v>44</v>
      </c>
      <c r="F12" s="4" t="s">
        <v>45</v>
      </c>
      <c r="G12" s="4"/>
      <c r="H12" s="4" t="s">
        <v>46</v>
      </c>
      <c r="I12" s="4" t="s">
        <v>47</v>
      </c>
      <c r="J12" s="4"/>
      <c r="K12" s="4" t="s">
        <v>48</v>
      </c>
      <c r="L12" s="4" t="s">
        <v>49</v>
      </c>
      <c r="M12" s="4"/>
      <c r="N12" s="4" t="s">
        <v>50</v>
      </c>
      <c r="O12" s="9" t="s">
        <v>51</v>
      </c>
      <c r="P12" s="52"/>
      <c r="R12" s="69">
        <f t="shared" si="1"/>
        <v>0</v>
      </c>
      <c r="U12" s="62"/>
      <c r="V12" s="63"/>
      <c r="W12" s="75">
        <f t="shared" si="3"/>
        <v>0</v>
      </c>
      <c r="X12" s="65"/>
      <c r="Y12" s="66">
        <f t="shared" si="0"/>
        <v>0.1423611111111111</v>
      </c>
      <c r="Z12" s="76" t="str">
        <f t="shared" si="5"/>
        <v/>
      </c>
      <c r="AA12" s="77" t="str">
        <f t="shared" si="4"/>
        <v/>
      </c>
      <c r="AB12" s="71"/>
      <c r="AC12" s="71"/>
      <c r="AE12" s="72" t="str">
        <f t="shared" si="2"/>
        <v/>
      </c>
    </row>
    <row r="13" spans="1:31" ht="13.05" customHeight="1">
      <c r="A13" s="8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9"/>
      <c r="P13" s="52"/>
      <c r="R13" s="69">
        <f t="shared" si="1"/>
        <v>0</v>
      </c>
      <c r="U13" s="62"/>
      <c r="V13" s="63"/>
      <c r="W13" s="75">
        <f t="shared" si="3"/>
        <v>0</v>
      </c>
      <c r="X13" s="65"/>
      <c r="Y13" s="66">
        <f t="shared" si="0"/>
        <v>0</v>
      </c>
      <c r="Z13" s="76" t="str">
        <f t="shared" si="5"/>
        <v/>
      </c>
      <c r="AA13" s="77" t="str">
        <f t="shared" si="4"/>
        <v/>
      </c>
      <c r="AB13" s="78" t="s">
        <v>1083</v>
      </c>
      <c r="AC13" s="71"/>
      <c r="AE13" s="72" t="str">
        <f t="shared" si="2"/>
        <v/>
      </c>
    </row>
    <row r="14" spans="1:31" ht="13.05" customHeight="1">
      <c r="A14" s="8" t="s">
        <v>52</v>
      </c>
      <c r="B14" s="4" t="s">
        <v>53</v>
      </c>
      <c r="C14" s="4" t="s">
        <v>54</v>
      </c>
      <c r="D14" s="4" t="s">
        <v>55</v>
      </c>
      <c r="E14" s="4" t="s">
        <v>26</v>
      </c>
      <c r="F14" s="4" t="s">
        <v>36</v>
      </c>
      <c r="G14" s="4"/>
      <c r="H14" s="4" t="s">
        <v>56</v>
      </c>
      <c r="I14" s="4" t="s">
        <v>47</v>
      </c>
      <c r="J14" s="4"/>
      <c r="K14" s="4"/>
      <c r="L14" s="4" t="s">
        <v>57</v>
      </c>
      <c r="M14" s="4" t="s">
        <v>58</v>
      </c>
      <c r="N14" s="4"/>
      <c r="O14" s="9"/>
      <c r="P14" s="52"/>
      <c r="R14" s="69" t="str">
        <f t="shared" si="1"/>
        <v>2212</v>
      </c>
      <c r="S14" s="4" t="s">
        <v>1112</v>
      </c>
      <c r="U14" s="62"/>
      <c r="V14" s="63"/>
      <c r="W14" s="75">
        <f t="shared" si="3"/>
        <v>2212</v>
      </c>
      <c r="X14" s="65"/>
      <c r="Y14" s="66">
        <f t="shared" si="0"/>
        <v>0.14861111111111111</v>
      </c>
      <c r="Z14" s="76" t="str">
        <f t="shared" si="5"/>
        <v/>
      </c>
      <c r="AA14" s="77" t="str">
        <f t="shared" si="4"/>
        <v>Alles OK</v>
      </c>
      <c r="AB14" s="79" t="s">
        <v>1084</v>
      </c>
      <c r="AC14" s="71"/>
      <c r="AE14" s="72" t="str">
        <f t="shared" si="2"/>
        <v/>
      </c>
    </row>
    <row r="15" spans="1:31" ht="13.05" customHeight="1">
      <c r="A15" s="8"/>
      <c r="B15" s="4" t="s">
        <v>41</v>
      </c>
      <c r="C15" s="4" t="s">
        <v>59</v>
      </c>
      <c r="D15" s="4" t="s">
        <v>60</v>
      </c>
      <c r="E15" s="4" t="s">
        <v>44</v>
      </c>
      <c r="F15" s="4" t="s">
        <v>45</v>
      </c>
      <c r="G15" s="4"/>
      <c r="H15" s="4" t="s">
        <v>61</v>
      </c>
      <c r="I15" s="4" t="s">
        <v>47</v>
      </c>
      <c r="J15" s="4"/>
      <c r="K15" s="4" t="s">
        <v>62</v>
      </c>
      <c r="L15" s="4" t="s">
        <v>63</v>
      </c>
      <c r="M15" s="4"/>
      <c r="N15" s="4" t="s">
        <v>64</v>
      </c>
      <c r="O15" s="9" t="s">
        <v>65</v>
      </c>
      <c r="P15" s="52"/>
      <c r="R15" s="69">
        <f t="shared" si="1"/>
        <v>0</v>
      </c>
      <c r="U15" s="62"/>
      <c r="V15" s="63"/>
      <c r="W15" s="75">
        <f t="shared" si="3"/>
        <v>0</v>
      </c>
      <c r="X15" s="65"/>
      <c r="Y15" s="66">
        <f t="shared" si="0"/>
        <v>0.18402777777777779</v>
      </c>
      <c r="Z15" s="76" t="str">
        <f t="shared" si="5"/>
        <v/>
      </c>
      <c r="AA15" s="77" t="str">
        <f t="shared" si="4"/>
        <v/>
      </c>
      <c r="AB15" s="79" t="s">
        <v>1085</v>
      </c>
      <c r="AC15" s="71"/>
      <c r="AE15" s="72" t="str">
        <f t="shared" si="2"/>
        <v/>
      </c>
    </row>
    <row r="16" spans="1:31" ht="13.05" customHeight="1">
      <c r="A16" s="8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9"/>
      <c r="P16" s="52"/>
      <c r="R16" s="69">
        <f t="shared" si="1"/>
        <v>0</v>
      </c>
      <c r="U16" s="62"/>
      <c r="V16" s="63"/>
      <c r="W16" s="75">
        <f t="shared" si="3"/>
        <v>0</v>
      </c>
      <c r="X16" s="65"/>
      <c r="Y16" s="66">
        <f t="shared" si="0"/>
        <v>0</v>
      </c>
      <c r="Z16" s="76" t="str">
        <f t="shared" si="5"/>
        <v/>
      </c>
      <c r="AA16" s="77" t="str">
        <f t="shared" si="4"/>
        <v/>
      </c>
      <c r="AE16" s="72" t="str">
        <f t="shared" si="2"/>
        <v/>
      </c>
    </row>
    <row r="17" spans="1:31" ht="13.05" customHeight="1">
      <c r="A17" s="8" t="s">
        <v>66</v>
      </c>
      <c r="B17" s="4" t="s">
        <v>33</v>
      </c>
      <c r="C17" s="4" t="s">
        <v>67</v>
      </c>
      <c r="D17" s="4" t="s">
        <v>68</v>
      </c>
      <c r="E17" s="4" t="s">
        <v>26</v>
      </c>
      <c r="F17" s="4" t="s">
        <v>69</v>
      </c>
      <c r="G17" s="4"/>
      <c r="H17" s="4" t="s">
        <v>70</v>
      </c>
      <c r="I17" s="4" t="s">
        <v>36</v>
      </c>
      <c r="J17" s="4"/>
      <c r="K17" s="4"/>
      <c r="L17" s="4" t="s">
        <v>71</v>
      </c>
      <c r="M17" s="4" t="s">
        <v>72</v>
      </c>
      <c r="N17" s="4"/>
      <c r="O17" s="9"/>
      <c r="P17" s="52"/>
      <c r="R17" s="69" t="str">
        <f t="shared" si="1"/>
        <v>2213</v>
      </c>
      <c r="S17" s="4" t="s">
        <v>1112</v>
      </c>
      <c r="U17" s="62"/>
      <c r="V17" s="63"/>
      <c r="W17" s="75">
        <f t="shared" si="3"/>
        <v>2213</v>
      </c>
      <c r="X17" s="65"/>
      <c r="Y17" s="66">
        <f t="shared" si="0"/>
        <v>0.15347222222222223</v>
      </c>
      <c r="Z17" s="76" t="str">
        <f t="shared" si="5"/>
        <v/>
      </c>
      <c r="AA17" s="77" t="str">
        <f t="shared" si="4"/>
        <v>Alles OK</v>
      </c>
      <c r="AE17" s="72" t="str">
        <f t="shared" si="2"/>
        <v/>
      </c>
    </row>
    <row r="18" spans="1:31" ht="13.05" customHeight="1">
      <c r="A18" s="8"/>
      <c r="B18" s="4" t="s">
        <v>33</v>
      </c>
      <c r="C18" s="4" t="s">
        <v>73</v>
      </c>
      <c r="D18" s="4" t="s">
        <v>74</v>
      </c>
      <c r="E18" s="4" t="s">
        <v>36</v>
      </c>
      <c r="F18" s="4" t="s">
        <v>36</v>
      </c>
      <c r="G18" s="4"/>
      <c r="H18" s="4" t="s">
        <v>75</v>
      </c>
      <c r="I18" s="4" t="s">
        <v>38</v>
      </c>
      <c r="J18" s="4"/>
      <c r="K18" s="4" t="s">
        <v>76</v>
      </c>
      <c r="L18" s="4" t="s">
        <v>77</v>
      </c>
      <c r="M18" s="4"/>
      <c r="N18" s="4" t="s">
        <v>78</v>
      </c>
      <c r="O18" s="9" t="s">
        <v>79</v>
      </c>
      <c r="P18" s="52"/>
      <c r="R18" s="69">
        <f t="shared" si="1"/>
        <v>0</v>
      </c>
      <c r="U18" s="62"/>
      <c r="V18" s="63"/>
      <c r="W18" s="75">
        <f t="shared" si="3"/>
        <v>0</v>
      </c>
      <c r="X18" s="65"/>
      <c r="Y18" s="66">
        <f t="shared" si="0"/>
        <v>0.10416666666666669</v>
      </c>
      <c r="Z18" s="76" t="str">
        <f t="shared" si="5"/>
        <v/>
      </c>
      <c r="AA18" s="77" t="str">
        <f t="shared" si="4"/>
        <v/>
      </c>
      <c r="AE18" s="72" t="str">
        <f t="shared" si="2"/>
        <v/>
      </c>
    </row>
    <row r="19" spans="1:31" ht="13.05" customHeight="1">
      <c r="A19" s="8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9"/>
      <c r="P19" s="52"/>
      <c r="R19" s="69">
        <f t="shared" si="1"/>
        <v>0</v>
      </c>
      <c r="U19" s="62"/>
      <c r="V19" s="63"/>
      <c r="W19" s="75">
        <f t="shared" si="3"/>
        <v>0</v>
      </c>
      <c r="X19" s="65"/>
      <c r="Y19" s="66">
        <f t="shared" si="0"/>
        <v>0</v>
      </c>
      <c r="Z19" s="76" t="str">
        <f t="shared" si="5"/>
        <v/>
      </c>
      <c r="AA19" s="77" t="str">
        <f t="shared" si="4"/>
        <v/>
      </c>
      <c r="AE19" s="72" t="str">
        <f t="shared" si="2"/>
        <v/>
      </c>
    </row>
    <row r="20" spans="1:31" ht="13.05" customHeight="1">
      <c r="A20" s="8" t="s">
        <v>80</v>
      </c>
      <c r="B20" s="4" t="s">
        <v>81</v>
      </c>
      <c r="C20" s="4" t="s">
        <v>82</v>
      </c>
      <c r="D20" s="4" t="s">
        <v>83</v>
      </c>
      <c r="E20" s="4" t="s">
        <v>26</v>
      </c>
      <c r="F20" s="4" t="s">
        <v>47</v>
      </c>
      <c r="G20" s="4"/>
      <c r="H20" s="4" t="s">
        <v>84</v>
      </c>
      <c r="I20" s="4" t="s">
        <v>44</v>
      </c>
      <c r="J20" s="4"/>
      <c r="K20" s="4"/>
      <c r="L20" s="4" t="s">
        <v>85</v>
      </c>
      <c r="M20" s="4" t="s">
        <v>86</v>
      </c>
      <c r="N20" s="4"/>
      <c r="O20" s="9"/>
      <c r="P20" s="52"/>
      <c r="R20" s="69" t="str">
        <f t="shared" si="1"/>
        <v>2214</v>
      </c>
      <c r="S20" s="4" t="s">
        <v>1112</v>
      </c>
      <c r="U20" s="62"/>
      <c r="V20" s="63"/>
      <c r="W20" s="75">
        <f t="shared" si="3"/>
        <v>2214</v>
      </c>
      <c r="X20" s="65"/>
      <c r="Y20" s="66">
        <f t="shared" si="0"/>
        <v>0.14097222222222222</v>
      </c>
      <c r="Z20" s="76" t="str">
        <f t="shared" si="5"/>
        <v/>
      </c>
      <c r="AA20" s="77" t="str">
        <f t="shared" si="4"/>
        <v>Alles OK</v>
      </c>
      <c r="AE20" s="72" t="str">
        <f t="shared" si="2"/>
        <v/>
      </c>
    </row>
    <row r="21" spans="1:31" ht="13.05" customHeight="1">
      <c r="A21" s="8"/>
      <c r="B21" s="4" t="s">
        <v>87</v>
      </c>
      <c r="C21" s="4" t="s">
        <v>88</v>
      </c>
      <c r="D21" s="4" t="s">
        <v>89</v>
      </c>
      <c r="E21" s="4" t="s">
        <v>44</v>
      </c>
      <c r="F21" s="4" t="s">
        <v>90</v>
      </c>
      <c r="G21" s="4"/>
      <c r="H21" s="4" t="s">
        <v>91</v>
      </c>
      <c r="I21" s="4" t="s">
        <v>44</v>
      </c>
      <c r="J21" s="4"/>
      <c r="K21" s="4" t="s">
        <v>92</v>
      </c>
      <c r="L21" s="4" t="s">
        <v>93</v>
      </c>
      <c r="M21" s="4"/>
      <c r="N21" s="4" t="s">
        <v>94</v>
      </c>
      <c r="O21" s="9" t="s">
        <v>95</v>
      </c>
      <c r="P21" s="52"/>
      <c r="R21" s="69">
        <f t="shared" si="1"/>
        <v>0</v>
      </c>
      <c r="U21" s="62"/>
      <c r="V21" s="63"/>
      <c r="W21" s="75">
        <f t="shared" si="3"/>
        <v>0</v>
      </c>
      <c r="X21" s="65"/>
      <c r="Y21" s="66">
        <f t="shared" si="0"/>
        <v>0.125</v>
      </c>
      <c r="Z21" s="76" t="str">
        <f t="shared" si="5"/>
        <v/>
      </c>
      <c r="AA21" s="77" t="str">
        <f t="shared" si="4"/>
        <v/>
      </c>
      <c r="AE21" s="72" t="str">
        <f t="shared" si="2"/>
        <v/>
      </c>
    </row>
    <row r="22" spans="1:31" ht="13.05" customHeight="1">
      <c r="A22" s="8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9"/>
      <c r="P22" s="52"/>
      <c r="R22" s="69">
        <f t="shared" si="1"/>
        <v>0</v>
      </c>
      <c r="U22" s="62"/>
      <c r="V22" s="63"/>
      <c r="W22" s="75">
        <f t="shared" si="3"/>
        <v>0</v>
      </c>
      <c r="X22" s="65"/>
      <c r="Y22" s="66">
        <f t="shared" si="0"/>
        <v>0</v>
      </c>
      <c r="Z22" s="76" t="str">
        <f t="shared" si="5"/>
        <v/>
      </c>
      <c r="AA22" s="77" t="str">
        <f t="shared" si="4"/>
        <v/>
      </c>
      <c r="AE22" s="72" t="str">
        <f t="shared" si="2"/>
        <v/>
      </c>
    </row>
    <row r="23" spans="1:31" ht="13.05" customHeight="1">
      <c r="A23" s="8" t="s">
        <v>62</v>
      </c>
      <c r="B23" s="4" t="s">
        <v>41</v>
      </c>
      <c r="C23" s="4" t="s">
        <v>59</v>
      </c>
      <c r="D23" s="4" t="s">
        <v>83</v>
      </c>
      <c r="E23" s="4" t="s">
        <v>26</v>
      </c>
      <c r="F23" s="4" t="s">
        <v>44</v>
      </c>
      <c r="G23" s="4"/>
      <c r="H23" s="4" t="s">
        <v>60</v>
      </c>
      <c r="I23" s="4" t="s">
        <v>44</v>
      </c>
      <c r="J23" s="4"/>
      <c r="K23" s="4"/>
      <c r="L23" s="4" t="s">
        <v>52</v>
      </c>
      <c r="M23" s="4" t="s">
        <v>86</v>
      </c>
      <c r="N23" s="4"/>
      <c r="O23" s="9"/>
      <c r="P23" s="52"/>
      <c r="R23" s="69" t="str">
        <f t="shared" si="1"/>
        <v>2215</v>
      </c>
      <c r="S23" s="4" t="s">
        <v>1112</v>
      </c>
      <c r="U23" s="62"/>
      <c r="V23" s="63"/>
      <c r="W23" s="75">
        <f t="shared" si="3"/>
        <v>2215</v>
      </c>
      <c r="X23" s="65"/>
      <c r="Y23" s="66">
        <f t="shared" si="0"/>
        <v>0.17569444444444443</v>
      </c>
      <c r="Z23" s="76" t="str">
        <f t="shared" si="5"/>
        <v/>
      </c>
      <c r="AA23" s="77" t="str">
        <f t="shared" si="4"/>
        <v>Alles OK</v>
      </c>
      <c r="AE23" s="72" t="str">
        <f t="shared" si="2"/>
        <v/>
      </c>
    </row>
    <row r="24" spans="1:31" ht="13.05" customHeight="1">
      <c r="A24" s="8"/>
      <c r="B24" s="4" t="s">
        <v>41</v>
      </c>
      <c r="C24" s="4" t="s">
        <v>96</v>
      </c>
      <c r="D24" s="4" t="s">
        <v>97</v>
      </c>
      <c r="E24" s="4" t="s">
        <v>44</v>
      </c>
      <c r="F24" s="4" t="s">
        <v>98</v>
      </c>
      <c r="G24" s="4"/>
      <c r="H24" s="4" t="s">
        <v>99</v>
      </c>
      <c r="I24" s="4" t="s">
        <v>47</v>
      </c>
      <c r="J24" s="4"/>
      <c r="K24" s="4" t="s">
        <v>100</v>
      </c>
      <c r="L24" s="4" t="s">
        <v>101</v>
      </c>
      <c r="M24" s="4"/>
      <c r="N24" s="4" t="s">
        <v>102</v>
      </c>
      <c r="O24" s="9" t="s">
        <v>103</v>
      </c>
      <c r="P24" s="52"/>
      <c r="R24" s="69">
        <f t="shared" si="1"/>
        <v>0</v>
      </c>
      <c r="U24" s="62"/>
      <c r="V24" s="63"/>
      <c r="W24" s="75">
        <f t="shared" si="3"/>
        <v>0</v>
      </c>
      <c r="X24" s="65"/>
      <c r="Y24" s="66">
        <f t="shared" si="0"/>
        <v>0.14236111111111116</v>
      </c>
      <c r="Z24" s="76" t="str">
        <f t="shared" si="5"/>
        <v/>
      </c>
      <c r="AA24" s="77" t="str">
        <f t="shared" si="4"/>
        <v/>
      </c>
      <c r="AE24" s="72" t="str">
        <f t="shared" si="2"/>
        <v/>
      </c>
    </row>
    <row r="25" spans="1:31" ht="13.8" customHeight="1">
      <c r="A25" s="8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9"/>
      <c r="P25" s="52"/>
      <c r="R25" s="69">
        <f t="shared" si="1"/>
        <v>0</v>
      </c>
      <c r="U25" s="62"/>
      <c r="V25" s="63"/>
      <c r="W25" s="75">
        <f t="shared" si="3"/>
        <v>0</v>
      </c>
      <c r="X25" s="65"/>
      <c r="Y25" s="66">
        <f t="shared" si="0"/>
        <v>0</v>
      </c>
      <c r="Z25" s="76" t="str">
        <f t="shared" si="5"/>
        <v/>
      </c>
      <c r="AA25" s="77" t="str">
        <f t="shared" si="4"/>
        <v/>
      </c>
      <c r="AE25" s="72" t="str">
        <f t="shared" si="2"/>
        <v/>
      </c>
    </row>
    <row r="26" spans="1:31" ht="13.05" customHeight="1">
      <c r="A26" s="8" t="s">
        <v>104</v>
      </c>
      <c r="B26" s="4" t="s">
        <v>105</v>
      </c>
      <c r="C26" s="4" t="s">
        <v>106</v>
      </c>
      <c r="D26" s="4" t="s">
        <v>107</v>
      </c>
      <c r="E26" s="4" t="s">
        <v>26</v>
      </c>
      <c r="F26" s="4" t="s">
        <v>108</v>
      </c>
      <c r="G26" s="4"/>
      <c r="H26" s="4" t="s">
        <v>109</v>
      </c>
      <c r="I26" s="4" t="s">
        <v>36</v>
      </c>
      <c r="J26" s="4"/>
      <c r="K26" s="4"/>
      <c r="L26" s="4" t="s">
        <v>110</v>
      </c>
      <c r="M26" s="4" t="s">
        <v>111</v>
      </c>
      <c r="N26" s="4"/>
      <c r="O26" s="9"/>
      <c r="P26" s="52"/>
      <c r="R26" s="69" t="str">
        <f t="shared" si="1"/>
        <v>2216</v>
      </c>
      <c r="S26" s="4" t="s">
        <v>1112</v>
      </c>
      <c r="U26" s="62"/>
      <c r="V26" s="63"/>
      <c r="W26" s="75">
        <f t="shared" si="3"/>
        <v>2216</v>
      </c>
      <c r="X26" s="65"/>
      <c r="Y26" s="66">
        <f t="shared" si="0"/>
        <v>0.16458333333333333</v>
      </c>
      <c r="Z26" s="76" t="str">
        <f t="shared" si="5"/>
        <v/>
      </c>
      <c r="AA26" s="77" t="str">
        <f t="shared" si="4"/>
        <v>Alles OK</v>
      </c>
      <c r="AE26" s="72" t="str">
        <f t="shared" si="2"/>
        <v/>
      </c>
    </row>
    <row r="27" spans="1:31" ht="13.05" customHeight="1">
      <c r="A27" s="8"/>
      <c r="B27" s="4" t="s">
        <v>33</v>
      </c>
      <c r="C27" s="4" t="s">
        <v>112</v>
      </c>
      <c r="D27" s="4" t="s">
        <v>113</v>
      </c>
      <c r="E27" s="4" t="s">
        <v>36</v>
      </c>
      <c r="F27" s="4" t="s">
        <v>36</v>
      </c>
      <c r="G27" s="4"/>
      <c r="H27" s="4" t="s">
        <v>114</v>
      </c>
      <c r="I27" s="4" t="s">
        <v>38</v>
      </c>
      <c r="J27" s="4"/>
      <c r="K27" s="4" t="s">
        <v>115</v>
      </c>
      <c r="L27" s="4" t="s">
        <v>110</v>
      </c>
      <c r="M27" s="4"/>
      <c r="N27" s="4" t="s">
        <v>116</v>
      </c>
      <c r="O27" s="9" t="s">
        <v>117</v>
      </c>
      <c r="P27" s="52"/>
      <c r="R27" s="69">
        <f t="shared" si="1"/>
        <v>0</v>
      </c>
      <c r="U27" s="62"/>
      <c r="V27" s="63"/>
      <c r="W27" s="75">
        <f t="shared" si="3"/>
        <v>0</v>
      </c>
      <c r="X27" s="65"/>
      <c r="Y27" s="66">
        <f t="shared" si="0"/>
        <v>0.15000000000000002</v>
      </c>
      <c r="Z27" s="76" t="str">
        <f t="shared" si="5"/>
        <v/>
      </c>
      <c r="AA27" s="77" t="str">
        <f t="shared" si="4"/>
        <v/>
      </c>
      <c r="AE27" s="72" t="str">
        <f t="shared" si="2"/>
        <v/>
      </c>
    </row>
    <row r="28" spans="1:31" ht="13.05" customHeight="1">
      <c r="A28" s="8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9"/>
      <c r="P28" s="52"/>
      <c r="R28" s="69">
        <f t="shared" si="1"/>
        <v>0</v>
      </c>
      <c r="U28" s="62"/>
      <c r="V28" s="63"/>
      <c r="W28" s="75">
        <f t="shared" si="3"/>
        <v>0</v>
      </c>
      <c r="X28" s="65"/>
      <c r="Y28" s="66">
        <f t="shared" si="0"/>
        <v>0</v>
      </c>
      <c r="Z28" s="76" t="str">
        <f t="shared" si="5"/>
        <v/>
      </c>
      <c r="AA28" s="77" t="str">
        <f t="shared" si="4"/>
        <v/>
      </c>
      <c r="AE28" s="72" t="str">
        <f t="shared" si="2"/>
        <v/>
      </c>
    </row>
    <row r="29" spans="1:31" ht="13.05" customHeight="1">
      <c r="A29" s="8" t="s">
        <v>48</v>
      </c>
      <c r="B29" s="4" t="s">
        <v>41</v>
      </c>
      <c r="C29" s="4" t="s">
        <v>42</v>
      </c>
      <c r="D29" s="4" t="s">
        <v>118</v>
      </c>
      <c r="E29" s="4" t="s">
        <v>26</v>
      </c>
      <c r="F29" s="4" t="s">
        <v>119</v>
      </c>
      <c r="G29" s="4"/>
      <c r="H29" s="4" t="s">
        <v>43</v>
      </c>
      <c r="I29" s="4" t="s">
        <v>44</v>
      </c>
      <c r="J29" s="4"/>
      <c r="K29" s="4"/>
      <c r="L29" s="4" t="s">
        <v>32</v>
      </c>
      <c r="M29" s="4" t="s">
        <v>120</v>
      </c>
      <c r="N29" s="4"/>
      <c r="O29" s="9"/>
      <c r="P29" s="52"/>
      <c r="R29" s="69" t="str">
        <f t="shared" si="1"/>
        <v>2217</v>
      </c>
      <c r="S29" s="4" t="s">
        <v>1112</v>
      </c>
      <c r="U29" s="62"/>
      <c r="V29" s="63"/>
      <c r="W29" s="75">
        <f t="shared" si="3"/>
        <v>2217</v>
      </c>
      <c r="X29" s="65"/>
      <c r="Y29" s="66">
        <f t="shared" si="0"/>
        <v>0.17569444444444443</v>
      </c>
      <c r="Z29" s="76" t="str">
        <f t="shared" si="5"/>
        <v/>
      </c>
      <c r="AA29" s="77" t="str">
        <f t="shared" si="4"/>
        <v>Alles OK</v>
      </c>
      <c r="AE29" s="72" t="str">
        <f t="shared" si="2"/>
        <v/>
      </c>
    </row>
    <row r="30" spans="1:31" ht="13.05" customHeight="1">
      <c r="A30" s="8"/>
      <c r="B30" s="4" t="s">
        <v>41</v>
      </c>
      <c r="C30" s="4" t="s">
        <v>121</v>
      </c>
      <c r="D30" s="4" t="s">
        <v>122</v>
      </c>
      <c r="E30" s="4" t="s">
        <v>47</v>
      </c>
      <c r="F30" s="4" t="s">
        <v>119</v>
      </c>
      <c r="G30" s="4"/>
      <c r="H30" s="4" t="s">
        <v>123</v>
      </c>
      <c r="I30" s="4" t="s">
        <v>47</v>
      </c>
      <c r="J30" s="4"/>
      <c r="K30" s="4" t="s">
        <v>124</v>
      </c>
      <c r="L30" s="4" t="s">
        <v>125</v>
      </c>
      <c r="M30" s="4"/>
      <c r="N30" s="4" t="s">
        <v>126</v>
      </c>
      <c r="O30" s="9" t="s">
        <v>127</v>
      </c>
      <c r="P30" s="52"/>
      <c r="R30" s="69">
        <f t="shared" si="1"/>
        <v>0</v>
      </c>
      <c r="U30" s="62"/>
      <c r="V30" s="63"/>
      <c r="W30" s="75">
        <f t="shared" si="3"/>
        <v>0</v>
      </c>
      <c r="X30" s="65"/>
      <c r="Y30" s="66">
        <f t="shared" si="0"/>
        <v>8.3333333333333315E-2</v>
      </c>
      <c r="Z30" s="76" t="str">
        <f t="shared" si="5"/>
        <v/>
      </c>
      <c r="AA30" s="77" t="str">
        <f t="shared" si="4"/>
        <v/>
      </c>
      <c r="AE30" s="72" t="str">
        <f t="shared" si="2"/>
        <v/>
      </c>
    </row>
    <row r="31" spans="1:31" ht="13.05" customHeight="1">
      <c r="A31" s="8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9"/>
      <c r="P31" s="52"/>
      <c r="R31" s="69">
        <f t="shared" si="1"/>
        <v>0</v>
      </c>
      <c r="U31" s="62"/>
      <c r="V31" s="63"/>
      <c r="W31" s="75">
        <f t="shared" si="3"/>
        <v>0</v>
      </c>
      <c r="X31" s="65"/>
      <c r="Y31" s="66">
        <f t="shared" si="0"/>
        <v>0</v>
      </c>
      <c r="Z31" s="76" t="str">
        <f t="shared" si="5"/>
        <v/>
      </c>
      <c r="AA31" s="77" t="str">
        <f t="shared" si="4"/>
        <v/>
      </c>
      <c r="AE31" s="72" t="str">
        <f t="shared" si="2"/>
        <v/>
      </c>
    </row>
    <row r="32" spans="1:31" ht="13.05" customHeight="1">
      <c r="A32" s="8" t="s">
        <v>92</v>
      </c>
      <c r="B32" s="4" t="s">
        <v>53</v>
      </c>
      <c r="C32" s="4" t="s">
        <v>88</v>
      </c>
      <c r="D32" s="4" t="s">
        <v>128</v>
      </c>
      <c r="E32" s="4" t="s">
        <v>26</v>
      </c>
      <c r="F32" s="4" t="s">
        <v>36</v>
      </c>
      <c r="G32" s="4"/>
      <c r="H32" s="4" t="s">
        <v>89</v>
      </c>
      <c r="I32" s="4" t="s">
        <v>44</v>
      </c>
      <c r="J32" s="4"/>
      <c r="K32" s="4"/>
      <c r="L32" s="4" t="s">
        <v>80</v>
      </c>
      <c r="M32" s="4" t="s">
        <v>129</v>
      </c>
      <c r="N32" s="4"/>
      <c r="O32" s="9"/>
      <c r="P32" s="52"/>
      <c r="R32" s="69" t="str">
        <f t="shared" si="1"/>
        <v>2218</v>
      </c>
      <c r="S32" s="4" t="s">
        <v>1100</v>
      </c>
      <c r="T32" s="112" t="s">
        <v>1114</v>
      </c>
      <c r="U32" s="62"/>
      <c r="V32" s="63"/>
      <c r="W32" s="75">
        <f t="shared" si="3"/>
        <v>2218</v>
      </c>
      <c r="X32" s="65"/>
      <c r="Y32" s="66">
        <f t="shared" si="0"/>
        <v>0.15208333333333335</v>
      </c>
      <c r="Z32" s="76" t="str">
        <f t="shared" si="5"/>
        <v/>
      </c>
      <c r="AA32" s="77" t="str">
        <f t="shared" si="4"/>
        <v>Alles OK</v>
      </c>
      <c r="AE32" s="72" t="str">
        <f t="shared" si="2"/>
        <v/>
      </c>
    </row>
    <row r="33" spans="1:31" ht="13.05" customHeight="1">
      <c r="A33" s="8"/>
      <c r="B33" s="4" t="s">
        <v>87</v>
      </c>
      <c r="C33" s="4" t="s">
        <v>130</v>
      </c>
      <c r="D33" s="4" t="s">
        <v>131</v>
      </c>
      <c r="E33" s="4" t="s">
        <v>47</v>
      </c>
      <c r="F33" s="4" t="s">
        <v>132</v>
      </c>
      <c r="G33" s="4"/>
      <c r="H33" s="4" t="s">
        <v>133</v>
      </c>
      <c r="I33" s="4" t="s">
        <v>47</v>
      </c>
      <c r="J33" s="4"/>
      <c r="K33" s="4" t="s">
        <v>134</v>
      </c>
      <c r="L33" s="4" t="s">
        <v>135</v>
      </c>
      <c r="M33" s="4"/>
      <c r="N33" s="4" t="s">
        <v>136</v>
      </c>
      <c r="O33" s="9" t="s">
        <v>137</v>
      </c>
      <c r="P33" s="52"/>
      <c r="R33" s="69">
        <f t="shared" si="1"/>
        <v>0</v>
      </c>
      <c r="U33" s="62"/>
      <c r="V33" s="63"/>
      <c r="W33" s="75">
        <f t="shared" si="3"/>
        <v>0</v>
      </c>
      <c r="X33" s="65"/>
      <c r="Y33" s="66">
        <f t="shared" si="0"/>
        <v>0.16666666666666663</v>
      </c>
      <c r="Z33" s="76" t="str">
        <f t="shared" si="5"/>
        <v/>
      </c>
      <c r="AA33" s="77" t="str">
        <f t="shared" si="4"/>
        <v/>
      </c>
      <c r="AE33" s="72" t="str">
        <f t="shared" si="2"/>
        <v/>
      </c>
    </row>
    <row r="34" spans="1:31" ht="13.05" customHeight="1">
      <c r="A34" s="8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9"/>
      <c r="P34" s="52"/>
      <c r="R34" s="69">
        <f t="shared" si="1"/>
        <v>0</v>
      </c>
      <c r="U34" s="62"/>
      <c r="V34" s="63"/>
      <c r="W34" s="75">
        <f t="shared" si="3"/>
        <v>0</v>
      </c>
      <c r="X34" s="65"/>
      <c r="Y34" s="66">
        <f t="shared" si="0"/>
        <v>0</v>
      </c>
      <c r="Z34" s="76" t="str">
        <f t="shared" si="5"/>
        <v/>
      </c>
      <c r="AA34" s="77" t="str">
        <f t="shared" si="4"/>
        <v/>
      </c>
      <c r="AE34" s="72" t="str">
        <f t="shared" si="2"/>
        <v/>
      </c>
    </row>
    <row r="35" spans="1:31" ht="13.05" customHeight="1">
      <c r="A35" s="8" t="s">
        <v>76</v>
      </c>
      <c r="B35" s="4" t="s">
        <v>138</v>
      </c>
      <c r="C35" s="4" t="s">
        <v>73</v>
      </c>
      <c r="D35" s="4" t="s">
        <v>139</v>
      </c>
      <c r="E35" s="4" t="s">
        <v>26</v>
      </c>
      <c r="F35" s="4" t="s">
        <v>140</v>
      </c>
      <c r="G35" s="4"/>
      <c r="H35" s="4" t="s">
        <v>74</v>
      </c>
      <c r="I35" s="4" t="s">
        <v>36</v>
      </c>
      <c r="J35" s="4"/>
      <c r="K35" s="4"/>
      <c r="L35" s="4" t="s">
        <v>66</v>
      </c>
      <c r="M35" s="4" t="s">
        <v>141</v>
      </c>
      <c r="N35" s="4"/>
      <c r="O35" s="9"/>
      <c r="P35" s="52"/>
      <c r="R35" s="69" t="str">
        <f t="shared" si="1"/>
        <v>2219</v>
      </c>
      <c r="S35" s="4" t="s">
        <v>1112</v>
      </c>
      <c r="U35" s="62"/>
      <c r="V35" s="63"/>
      <c r="W35" s="75">
        <f t="shared" si="3"/>
        <v>2219</v>
      </c>
      <c r="X35" s="65"/>
      <c r="Y35" s="66">
        <f t="shared" si="0"/>
        <v>0.16249999999999998</v>
      </c>
      <c r="Z35" s="76" t="str">
        <f t="shared" si="5"/>
        <v/>
      </c>
      <c r="AA35" s="77" t="str">
        <f t="shared" si="4"/>
        <v>Alles OK</v>
      </c>
      <c r="AE35" s="72" t="str">
        <f t="shared" si="2"/>
        <v/>
      </c>
    </row>
    <row r="36" spans="1:31" ht="13.05" customHeight="1">
      <c r="A36" s="8"/>
      <c r="B36" s="4" t="s">
        <v>142</v>
      </c>
      <c r="C36" s="4" t="s">
        <v>143</v>
      </c>
      <c r="D36" s="4" t="s">
        <v>144</v>
      </c>
      <c r="E36" s="4" t="s">
        <v>69</v>
      </c>
      <c r="F36" s="4" t="s">
        <v>69</v>
      </c>
      <c r="G36" s="4"/>
      <c r="H36" s="4" t="s">
        <v>145</v>
      </c>
      <c r="I36" s="4" t="s">
        <v>69</v>
      </c>
      <c r="J36" s="4"/>
      <c r="K36" s="4" t="s">
        <v>146</v>
      </c>
      <c r="L36" s="4" t="s">
        <v>147</v>
      </c>
      <c r="M36" s="4"/>
      <c r="N36" s="4" t="s">
        <v>99</v>
      </c>
      <c r="O36" s="9" t="s">
        <v>148</v>
      </c>
      <c r="P36" s="52"/>
      <c r="R36" s="69">
        <f t="shared" si="1"/>
        <v>0</v>
      </c>
      <c r="U36" s="62"/>
      <c r="V36" s="63"/>
      <c r="W36" s="75">
        <f t="shared" si="3"/>
        <v>0</v>
      </c>
      <c r="X36" s="65"/>
      <c r="Y36" s="66">
        <f t="shared" si="0"/>
        <v>0.12499999999999994</v>
      </c>
      <c r="Z36" s="76" t="str">
        <f t="shared" si="5"/>
        <v/>
      </c>
      <c r="AA36" s="77" t="str">
        <f t="shared" si="4"/>
        <v/>
      </c>
      <c r="AE36" s="72" t="str">
        <f t="shared" si="2"/>
        <v/>
      </c>
    </row>
    <row r="37" spans="1:31" ht="13.05" customHeight="1">
      <c r="A37" s="8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9"/>
      <c r="P37" s="52"/>
      <c r="R37" s="69">
        <f t="shared" si="1"/>
        <v>0</v>
      </c>
      <c r="U37" s="62"/>
      <c r="V37" s="63"/>
      <c r="W37" s="75">
        <f t="shared" si="3"/>
        <v>0</v>
      </c>
      <c r="X37" s="65"/>
      <c r="Y37" s="66">
        <f t="shared" si="0"/>
        <v>0</v>
      </c>
      <c r="Z37" s="76" t="str">
        <f t="shared" si="5"/>
        <v/>
      </c>
      <c r="AA37" s="77" t="str">
        <f t="shared" si="4"/>
        <v/>
      </c>
      <c r="AE37" s="72" t="str">
        <f t="shared" si="2"/>
        <v/>
      </c>
    </row>
    <row r="38" spans="1:31" ht="13.05" customHeight="1">
      <c r="A38" s="8" t="s">
        <v>134</v>
      </c>
      <c r="B38" s="4" t="s">
        <v>87</v>
      </c>
      <c r="C38" s="4" t="s">
        <v>130</v>
      </c>
      <c r="D38" s="4" t="s">
        <v>149</v>
      </c>
      <c r="E38" s="4" t="s">
        <v>26</v>
      </c>
      <c r="F38" s="4" t="s">
        <v>47</v>
      </c>
      <c r="G38" s="4"/>
      <c r="H38" s="4" t="s">
        <v>131</v>
      </c>
      <c r="I38" s="4" t="s">
        <v>47</v>
      </c>
      <c r="J38" s="4"/>
      <c r="K38" s="4"/>
      <c r="L38" s="4" t="s">
        <v>92</v>
      </c>
      <c r="M38" s="4" t="s">
        <v>150</v>
      </c>
      <c r="N38" s="4"/>
      <c r="O38" s="9"/>
      <c r="P38" s="52"/>
      <c r="R38" s="69" t="str">
        <f t="shared" si="1"/>
        <v>2220</v>
      </c>
      <c r="S38" s="4" t="s">
        <v>1112</v>
      </c>
      <c r="U38" s="62"/>
      <c r="V38" s="63"/>
      <c r="W38" s="75">
        <f t="shared" si="3"/>
        <v>2220</v>
      </c>
      <c r="X38" s="65"/>
      <c r="Y38" s="66">
        <f t="shared" si="0"/>
        <v>0.16875000000000001</v>
      </c>
      <c r="Z38" s="76" t="str">
        <f t="shared" si="5"/>
        <v/>
      </c>
      <c r="AA38" s="77" t="str">
        <f t="shared" si="4"/>
        <v>Alles OK</v>
      </c>
      <c r="AE38" s="72" t="str">
        <f t="shared" si="2"/>
        <v/>
      </c>
    </row>
    <row r="39" spans="1:31" ht="13.05" customHeight="1">
      <c r="A39" s="8"/>
      <c r="B39" s="4" t="s">
        <v>81</v>
      </c>
      <c r="C39" s="4" t="s">
        <v>151</v>
      </c>
      <c r="D39" s="4" t="s">
        <v>152</v>
      </c>
      <c r="E39" s="4" t="s">
        <v>47</v>
      </c>
      <c r="F39" s="4" t="s">
        <v>153</v>
      </c>
      <c r="G39" s="4"/>
      <c r="H39" s="4" t="s">
        <v>50</v>
      </c>
      <c r="I39" s="4" t="s">
        <v>44</v>
      </c>
      <c r="J39" s="4"/>
      <c r="K39" s="4" t="s">
        <v>154</v>
      </c>
      <c r="L39" s="4" t="s">
        <v>155</v>
      </c>
      <c r="M39" s="4"/>
      <c r="N39" s="4" t="s">
        <v>156</v>
      </c>
      <c r="O39" s="9" t="s">
        <v>157</v>
      </c>
      <c r="P39" s="52"/>
      <c r="R39" s="69">
        <f t="shared" si="1"/>
        <v>0</v>
      </c>
      <c r="U39" s="62"/>
      <c r="V39" s="63"/>
      <c r="W39" s="75">
        <f t="shared" si="3"/>
        <v>0</v>
      </c>
      <c r="X39" s="65"/>
      <c r="Y39" s="66">
        <f t="shared" si="0"/>
        <v>0.10069444444444442</v>
      </c>
      <c r="Z39" s="76" t="str">
        <f t="shared" si="5"/>
        <v/>
      </c>
      <c r="AA39" s="77" t="str">
        <f t="shared" si="4"/>
        <v/>
      </c>
      <c r="AE39" s="72" t="str">
        <f t="shared" si="2"/>
        <v/>
      </c>
    </row>
    <row r="40" spans="1:31" ht="13.05" customHeight="1">
      <c r="A40" s="8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9"/>
      <c r="P40" s="52"/>
      <c r="R40" s="69">
        <f t="shared" si="1"/>
        <v>0</v>
      </c>
      <c r="U40" s="62"/>
      <c r="V40" s="63"/>
      <c r="W40" s="75">
        <f t="shared" si="3"/>
        <v>0</v>
      </c>
      <c r="X40" s="65"/>
      <c r="Y40" s="66">
        <f t="shared" si="0"/>
        <v>0</v>
      </c>
      <c r="Z40" s="76" t="str">
        <f t="shared" si="5"/>
        <v/>
      </c>
      <c r="AA40" s="77" t="str">
        <f t="shared" si="4"/>
        <v/>
      </c>
      <c r="AE40" s="72" t="str">
        <f t="shared" si="2"/>
        <v/>
      </c>
    </row>
    <row r="41" spans="1:31" ht="13.05" customHeight="1">
      <c r="A41" s="8" t="s">
        <v>158</v>
      </c>
      <c r="B41" s="4" t="s">
        <v>159</v>
      </c>
      <c r="C41" s="4" t="s">
        <v>160</v>
      </c>
      <c r="D41" s="4" t="s">
        <v>161</v>
      </c>
      <c r="E41" s="4" t="s">
        <v>26</v>
      </c>
      <c r="F41" s="4" t="s">
        <v>162</v>
      </c>
      <c r="G41" s="4"/>
      <c r="H41" s="4" t="s">
        <v>163</v>
      </c>
      <c r="I41" s="4" t="s">
        <v>162</v>
      </c>
      <c r="J41" s="4"/>
      <c r="K41" s="4"/>
      <c r="L41" s="4" t="s">
        <v>164</v>
      </c>
      <c r="M41" s="4" t="s">
        <v>165</v>
      </c>
      <c r="N41" s="4" t="s">
        <v>166</v>
      </c>
      <c r="O41" s="9" t="s">
        <v>167</v>
      </c>
      <c r="P41" s="52"/>
      <c r="R41" s="69" t="str">
        <f t="shared" si="1"/>
        <v>2221</v>
      </c>
      <c r="S41" s="4" t="s">
        <v>1112</v>
      </c>
      <c r="U41" s="62"/>
      <c r="V41" s="63"/>
      <c r="W41" s="75">
        <f t="shared" si="3"/>
        <v>2221</v>
      </c>
      <c r="X41" s="65"/>
      <c r="Y41" s="66">
        <f t="shared" si="0"/>
        <v>0.32638888888888884</v>
      </c>
      <c r="Z41" s="76">
        <f t="shared" si="5"/>
        <v>0.13888888888888884</v>
      </c>
      <c r="AA41" s="77" t="str">
        <f t="shared" si="4"/>
        <v>Pause zu spät</v>
      </c>
      <c r="AE41" s="72" t="str">
        <f t="shared" si="2"/>
        <v/>
      </c>
    </row>
    <row r="42" spans="1:31" ht="13.05" customHeight="1">
      <c r="A42" s="8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9"/>
      <c r="P42" s="52"/>
      <c r="R42" s="69">
        <f t="shared" si="1"/>
        <v>0</v>
      </c>
      <c r="U42" s="62"/>
      <c r="V42" s="63"/>
      <c r="W42" s="75">
        <f t="shared" si="3"/>
        <v>0</v>
      </c>
      <c r="X42" s="65"/>
      <c r="Y42" s="66">
        <f t="shared" si="0"/>
        <v>0</v>
      </c>
      <c r="Z42" s="76" t="str">
        <f t="shared" si="5"/>
        <v/>
      </c>
      <c r="AA42" s="77" t="str">
        <f t="shared" si="4"/>
        <v/>
      </c>
      <c r="AE42" s="72" t="str">
        <f t="shared" si="2"/>
        <v/>
      </c>
    </row>
    <row r="43" spans="1:31" ht="13.05" customHeight="1">
      <c r="A43" s="8" t="s">
        <v>168</v>
      </c>
      <c r="B43" s="4" t="s">
        <v>138</v>
      </c>
      <c r="C43" s="4" t="s">
        <v>169</v>
      </c>
      <c r="D43" s="4" t="s">
        <v>170</v>
      </c>
      <c r="E43" s="4" t="s">
        <v>26</v>
      </c>
      <c r="F43" s="4" t="s">
        <v>140</v>
      </c>
      <c r="G43" s="4"/>
      <c r="H43" s="4" t="s">
        <v>171</v>
      </c>
      <c r="I43" s="4" t="s">
        <v>36</v>
      </c>
      <c r="J43" s="4"/>
      <c r="K43" s="4"/>
      <c r="L43" s="4" t="s">
        <v>172</v>
      </c>
      <c r="M43" s="4" t="s">
        <v>173</v>
      </c>
      <c r="N43" s="4"/>
      <c r="O43" s="9"/>
      <c r="P43" s="52"/>
      <c r="R43" s="69" t="str">
        <f t="shared" si="1"/>
        <v>2222</v>
      </c>
      <c r="S43" s="4" t="s">
        <v>1112</v>
      </c>
      <c r="U43" s="62"/>
      <c r="V43" s="63"/>
      <c r="W43" s="75">
        <f t="shared" si="3"/>
        <v>2222</v>
      </c>
      <c r="X43" s="65"/>
      <c r="Y43" s="66">
        <f t="shared" si="0"/>
        <v>0.16249999999999998</v>
      </c>
      <c r="Z43" s="76" t="str">
        <f t="shared" si="5"/>
        <v/>
      </c>
      <c r="AA43" s="77" t="str">
        <f t="shared" si="4"/>
        <v>Alles OK</v>
      </c>
      <c r="AE43" s="72" t="str">
        <f t="shared" si="2"/>
        <v/>
      </c>
    </row>
    <row r="44" spans="1:31" ht="13.05" customHeight="1">
      <c r="A44" s="8"/>
      <c r="B44" s="4" t="s">
        <v>33</v>
      </c>
      <c r="C44" s="4" t="s">
        <v>174</v>
      </c>
      <c r="D44" s="4" t="s">
        <v>175</v>
      </c>
      <c r="E44" s="4" t="s">
        <v>36</v>
      </c>
      <c r="F44" s="4" t="s">
        <v>36</v>
      </c>
      <c r="G44" s="4"/>
      <c r="H44" s="4" t="s">
        <v>176</v>
      </c>
      <c r="I44" s="4" t="s">
        <v>38</v>
      </c>
      <c r="J44" s="4"/>
      <c r="K44" s="4" t="s">
        <v>177</v>
      </c>
      <c r="L44" s="4" t="s">
        <v>178</v>
      </c>
      <c r="M44" s="4"/>
      <c r="N44" s="4" t="s">
        <v>179</v>
      </c>
      <c r="O44" s="9" t="s">
        <v>180</v>
      </c>
      <c r="P44" s="52"/>
      <c r="R44" s="69">
        <f t="shared" si="1"/>
        <v>0</v>
      </c>
      <c r="U44" s="62"/>
      <c r="V44" s="63"/>
      <c r="W44" s="75">
        <f t="shared" si="3"/>
        <v>0</v>
      </c>
      <c r="X44" s="65"/>
      <c r="Y44" s="66">
        <f t="shared" si="0"/>
        <v>0.16180555555555554</v>
      </c>
      <c r="Z44" s="76" t="str">
        <f t="shared" si="5"/>
        <v/>
      </c>
      <c r="AA44" s="77" t="str">
        <f t="shared" si="4"/>
        <v/>
      </c>
      <c r="AE44" s="72" t="str">
        <f t="shared" si="2"/>
        <v/>
      </c>
    </row>
    <row r="45" spans="1:31" ht="13.05" customHeight="1">
      <c r="A45" s="8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9"/>
      <c r="P45" s="52"/>
      <c r="R45" s="69">
        <f t="shared" si="1"/>
        <v>0</v>
      </c>
      <c r="U45" s="62"/>
      <c r="V45" s="63"/>
      <c r="W45" s="75">
        <f t="shared" si="3"/>
        <v>0</v>
      </c>
      <c r="X45" s="65"/>
      <c r="Y45" s="66">
        <f t="shared" si="0"/>
        <v>0</v>
      </c>
      <c r="Z45" s="76" t="str">
        <f t="shared" si="5"/>
        <v/>
      </c>
      <c r="AA45" s="77" t="str">
        <f t="shared" si="4"/>
        <v/>
      </c>
      <c r="AE45" s="72" t="str">
        <f t="shared" si="2"/>
        <v/>
      </c>
    </row>
    <row r="46" spans="1:31" ht="13.05" customHeight="1">
      <c r="A46" s="8" t="s">
        <v>100</v>
      </c>
      <c r="B46" s="4" t="s">
        <v>41</v>
      </c>
      <c r="C46" s="4" t="s">
        <v>96</v>
      </c>
      <c r="D46" s="4" t="s">
        <v>181</v>
      </c>
      <c r="E46" s="4" t="s">
        <v>26</v>
      </c>
      <c r="F46" s="4" t="s">
        <v>182</v>
      </c>
      <c r="G46" s="4"/>
      <c r="H46" s="4" t="s">
        <v>97</v>
      </c>
      <c r="I46" s="4" t="s">
        <v>44</v>
      </c>
      <c r="J46" s="4"/>
      <c r="K46" s="4"/>
      <c r="L46" s="4" t="s">
        <v>62</v>
      </c>
      <c r="M46" s="4" t="s">
        <v>183</v>
      </c>
      <c r="N46" s="4"/>
      <c r="O46" s="9"/>
      <c r="P46" s="52"/>
      <c r="R46" s="69" t="str">
        <f t="shared" si="1"/>
        <v>2223</v>
      </c>
      <c r="S46" s="4" t="s">
        <v>1112</v>
      </c>
      <c r="U46" s="62"/>
      <c r="V46" s="63"/>
      <c r="W46" s="75">
        <f t="shared" si="3"/>
        <v>2223</v>
      </c>
      <c r="X46" s="65"/>
      <c r="Y46" s="66">
        <f t="shared" si="0"/>
        <v>0.16041666666666668</v>
      </c>
      <c r="Z46" s="76" t="str">
        <f t="shared" si="5"/>
        <v/>
      </c>
      <c r="AA46" s="77" t="str">
        <f t="shared" si="4"/>
        <v>Alles OK</v>
      </c>
      <c r="AE46" s="72" t="str">
        <f t="shared" si="2"/>
        <v/>
      </c>
    </row>
    <row r="47" spans="1:31" ht="13.05" customHeight="1">
      <c r="A47" s="8"/>
      <c r="B47" s="4" t="s">
        <v>138</v>
      </c>
      <c r="C47" s="4" t="s">
        <v>34</v>
      </c>
      <c r="D47" s="4" t="s">
        <v>184</v>
      </c>
      <c r="E47" s="4" t="s">
        <v>38</v>
      </c>
      <c r="F47" s="4" t="s">
        <v>38</v>
      </c>
      <c r="G47" s="4"/>
      <c r="H47" s="4" t="s">
        <v>185</v>
      </c>
      <c r="I47" s="4" t="s">
        <v>38</v>
      </c>
      <c r="J47" s="4"/>
      <c r="K47" s="4" t="s">
        <v>39</v>
      </c>
      <c r="L47" s="4" t="s">
        <v>186</v>
      </c>
      <c r="M47" s="4"/>
      <c r="N47" s="4" t="s">
        <v>187</v>
      </c>
      <c r="O47" s="9" t="s">
        <v>188</v>
      </c>
      <c r="P47" s="52"/>
      <c r="R47" s="69">
        <f t="shared" si="1"/>
        <v>0</v>
      </c>
      <c r="U47" s="62"/>
      <c r="V47" s="63"/>
      <c r="W47" s="75">
        <f t="shared" si="3"/>
        <v>0</v>
      </c>
      <c r="X47" s="65"/>
      <c r="Y47" s="66">
        <f t="shared" si="0"/>
        <v>8.2638888888888928E-2</v>
      </c>
      <c r="Z47" s="76" t="str">
        <f t="shared" si="5"/>
        <v/>
      </c>
      <c r="AA47" s="77" t="str">
        <f t="shared" si="4"/>
        <v/>
      </c>
      <c r="AE47" s="72" t="str">
        <f t="shared" si="2"/>
        <v/>
      </c>
    </row>
    <row r="48" spans="1:31" ht="13.05" customHeight="1">
      <c r="A48" s="8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9"/>
      <c r="P48" s="52"/>
      <c r="R48" s="69">
        <f t="shared" si="1"/>
        <v>0</v>
      </c>
      <c r="U48" s="62"/>
      <c r="V48" s="63"/>
      <c r="W48" s="75">
        <f t="shared" si="3"/>
        <v>0</v>
      </c>
      <c r="X48" s="65"/>
      <c r="Y48" s="66">
        <f t="shared" si="0"/>
        <v>0</v>
      </c>
      <c r="Z48" s="76" t="str">
        <f t="shared" si="5"/>
        <v/>
      </c>
      <c r="AA48" s="77" t="str">
        <f t="shared" si="4"/>
        <v/>
      </c>
      <c r="AE48" s="72" t="str">
        <f t="shared" si="2"/>
        <v/>
      </c>
    </row>
    <row r="49" spans="1:31" ht="13.05" customHeight="1">
      <c r="A49" s="8" t="s">
        <v>115</v>
      </c>
      <c r="B49" s="4" t="s">
        <v>138</v>
      </c>
      <c r="C49" s="4" t="s">
        <v>112</v>
      </c>
      <c r="D49" s="4" t="s">
        <v>189</v>
      </c>
      <c r="E49" s="4" t="s">
        <v>26</v>
      </c>
      <c r="F49" s="4" t="s">
        <v>140</v>
      </c>
      <c r="G49" s="4"/>
      <c r="H49" s="4" t="s">
        <v>113</v>
      </c>
      <c r="I49" s="4" t="s">
        <v>36</v>
      </c>
      <c r="J49" s="4"/>
      <c r="K49" s="4"/>
      <c r="L49" s="4" t="s">
        <v>104</v>
      </c>
      <c r="M49" s="4" t="s">
        <v>190</v>
      </c>
      <c r="N49" s="4"/>
      <c r="O49" s="9"/>
      <c r="P49" s="52"/>
      <c r="R49" s="69" t="str">
        <f t="shared" si="1"/>
        <v>2224</v>
      </c>
      <c r="S49" s="4" t="s">
        <v>1112</v>
      </c>
      <c r="U49" s="62"/>
      <c r="V49" s="63"/>
      <c r="W49" s="75">
        <f t="shared" si="3"/>
        <v>2224</v>
      </c>
      <c r="X49" s="65"/>
      <c r="Y49" s="66">
        <f t="shared" si="0"/>
        <v>0.16249999999999998</v>
      </c>
      <c r="Z49" s="76" t="str">
        <f t="shared" si="5"/>
        <v/>
      </c>
      <c r="AA49" s="77" t="str">
        <f t="shared" si="4"/>
        <v>Alles OK</v>
      </c>
      <c r="AE49" s="72" t="str">
        <f t="shared" si="2"/>
        <v/>
      </c>
    </row>
    <row r="50" spans="1:31" ht="13.05" customHeight="1">
      <c r="A50" s="8"/>
      <c r="B50" s="4" t="s">
        <v>33</v>
      </c>
      <c r="C50" s="4" t="s">
        <v>67</v>
      </c>
      <c r="D50" s="4" t="s">
        <v>191</v>
      </c>
      <c r="E50" s="4" t="s">
        <v>36</v>
      </c>
      <c r="F50" s="4" t="s">
        <v>36</v>
      </c>
      <c r="G50" s="4"/>
      <c r="H50" s="4" t="s">
        <v>192</v>
      </c>
      <c r="I50" s="4" t="s">
        <v>36</v>
      </c>
      <c r="J50" s="4"/>
      <c r="K50" s="4" t="s">
        <v>71</v>
      </c>
      <c r="L50" s="4" t="s">
        <v>193</v>
      </c>
      <c r="M50" s="4"/>
      <c r="N50" s="4" t="s">
        <v>194</v>
      </c>
      <c r="O50" s="9" t="s">
        <v>195</v>
      </c>
      <c r="P50" s="52"/>
      <c r="R50" s="69">
        <f t="shared" si="1"/>
        <v>0</v>
      </c>
      <c r="U50" s="62"/>
      <c r="V50" s="63"/>
      <c r="W50" s="75">
        <f t="shared" si="3"/>
        <v>0</v>
      </c>
      <c r="X50" s="65"/>
      <c r="Y50" s="66">
        <f t="shared" si="0"/>
        <v>0.16736111111111107</v>
      </c>
      <c r="Z50" s="76" t="str">
        <f t="shared" si="5"/>
        <v/>
      </c>
      <c r="AA50" s="77" t="str">
        <f t="shared" si="4"/>
        <v/>
      </c>
      <c r="AE50" s="72" t="str">
        <f t="shared" si="2"/>
        <v/>
      </c>
    </row>
    <row r="51" spans="1:31" ht="13.05" customHeight="1">
      <c r="A51" s="8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9"/>
      <c r="P51" s="52"/>
      <c r="R51" s="69">
        <f t="shared" si="1"/>
        <v>0</v>
      </c>
      <c r="U51" s="62"/>
      <c r="V51" s="63"/>
      <c r="W51" s="75">
        <f t="shared" si="3"/>
        <v>0</v>
      </c>
      <c r="X51" s="65"/>
      <c r="Y51" s="66">
        <f t="shared" si="0"/>
        <v>0</v>
      </c>
      <c r="Z51" s="76" t="str">
        <f t="shared" si="5"/>
        <v/>
      </c>
      <c r="AA51" s="77" t="str">
        <f t="shared" si="4"/>
        <v/>
      </c>
      <c r="AE51" s="72" t="str">
        <f t="shared" si="2"/>
        <v/>
      </c>
    </row>
    <row r="52" spans="1:31" ht="13.05" customHeight="1">
      <c r="A52" s="8" t="s">
        <v>146</v>
      </c>
      <c r="B52" s="4" t="s">
        <v>142</v>
      </c>
      <c r="C52" s="4" t="s">
        <v>143</v>
      </c>
      <c r="D52" s="4" t="s">
        <v>196</v>
      </c>
      <c r="E52" s="4" t="s">
        <v>26</v>
      </c>
      <c r="F52" s="4" t="s">
        <v>36</v>
      </c>
      <c r="G52" s="4"/>
      <c r="H52" s="4" t="s">
        <v>144</v>
      </c>
      <c r="I52" s="4" t="s">
        <v>69</v>
      </c>
      <c r="J52" s="4"/>
      <c r="K52" s="4"/>
      <c r="L52" s="4" t="s">
        <v>76</v>
      </c>
      <c r="M52" s="4" t="s">
        <v>197</v>
      </c>
      <c r="N52" s="4"/>
      <c r="O52" s="9"/>
      <c r="P52" s="52"/>
      <c r="R52" s="69" t="str">
        <f t="shared" si="1"/>
        <v>2225</v>
      </c>
      <c r="S52" s="4" t="s">
        <v>1112</v>
      </c>
      <c r="U52" s="62"/>
      <c r="V52" s="63"/>
      <c r="W52" s="75">
        <f t="shared" si="3"/>
        <v>2225</v>
      </c>
      <c r="X52" s="65"/>
      <c r="Y52" s="66">
        <f t="shared" si="0"/>
        <v>0.16666666666666669</v>
      </c>
      <c r="Z52" s="76" t="str">
        <f t="shared" si="5"/>
        <v/>
      </c>
      <c r="AA52" s="77" t="str">
        <f t="shared" si="4"/>
        <v>Alles OK</v>
      </c>
      <c r="AE52" s="72" t="str">
        <f t="shared" si="2"/>
        <v/>
      </c>
    </row>
    <row r="53" spans="1:31" ht="13.05" customHeight="1">
      <c r="A53" s="8"/>
      <c r="B53" s="4" t="s">
        <v>33</v>
      </c>
      <c r="C53" s="4" t="s">
        <v>198</v>
      </c>
      <c r="D53" s="4" t="s">
        <v>199</v>
      </c>
      <c r="E53" s="4" t="s">
        <v>36</v>
      </c>
      <c r="F53" s="4" t="s">
        <v>36</v>
      </c>
      <c r="G53" s="4"/>
      <c r="H53" s="4" t="s">
        <v>200</v>
      </c>
      <c r="I53" s="4" t="s">
        <v>38</v>
      </c>
      <c r="J53" s="4"/>
      <c r="K53" s="4" t="s">
        <v>201</v>
      </c>
      <c r="L53" s="4" t="s">
        <v>202</v>
      </c>
      <c r="M53" s="4"/>
      <c r="N53" s="4" t="s">
        <v>192</v>
      </c>
      <c r="O53" s="9" t="s">
        <v>89</v>
      </c>
      <c r="P53" s="52"/>
      <c r="R53" s="69">
        <f t="shared" si="1"/>
        <v>0</v>
      </c>
      <c r="U53" s="62"/>
      <c r="V53" s="63"/>
      <c r="W53" s="75">
        <f t="shared" si="3"/>
        <v>0</v>
      </c>
      <c r="X53" s="65"/>
      <c r="Y53" s="66">
        <f t="shared" si="0"/>
        <v>0.14999999999999997</v>
      </c>
      <c r="Z53" s="76" t="str">
        <f t="shared" si="5"/>
        <v/>
      </c>
      <c r="AA53" s="77" t="str">
        <f t="shared" si="4"/>
        <v/>
      </c>
      <c r="AE53" s="72" t="str">
        <f t="shared" si="2"/>
        <v/>
      </c>
    </row>
    <row r="54" spans="1:31" ht="13.05" customHeight="1">
      <c r="A54" s="8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9"/>
      <c r="P54" s="52"/>
      <c r="R54" s="69">
        <f t="shared" si="1"/>
        <v>0</v>
      </c>
      <c r="U54" s="62"/>
      <c r="V54" s="63"/>
      <c r="W54" s="75">
        <f t="shared" si="3"/>
        <v>0</v>
      </c>
      <c r="X54" s="65"/>
      <c r="Y54" s="66">
        <f t="shared" si="0"/>
        <v>0</v>
      </c>
      <c r="Z54" s="76" t="str">
        <f t="shared" si="5"/>
        <v/>
      </c>
      <c r="AA54" s="77" t="str">
        <f t="shared" si="4"/>
        <v/>
      </c>
      <c r="AE54" s="72" t="str">
        <f t="shared" si="2"/>
        <v/>
      </c>
    </row>
    <row r="55" spans="1:31" ht="13.05" customHeight="1">
      <c r="A55" s="8" t="s">
        <v>177</v>
      </c>
      <c r="B55" s="4" t="s">
        <v>33</v>
      </c>
      <c r="C55" s="4" t="s">
        <v>174</v>
      </c>
      <c r="D55" s="4" t="s">
        <v>203</v>
      </c>
      <c r="E55" s="4" t="s">
        <v>26</v>
      </c>
      <c r="F55" s="4" t="s">
        <v>38</v>
      </c>
      <c r="G55" s="4"/>
      <c r="H55" s="4" t="s">
        <v>175</v>
      </c>
      <c r="I55" s="4" t="s">
        <v>36</v>
      </c>
      <c r="J55" s="4"/>
      <c r="K55" s="4"/>
      <c r="L55" s="4" t="s">
        <v>168</v>
      </c>
      <c r="M55" s="4" t="s">
        <v>204</v>
      </c>
      <c r="N55" s="4"/>
      <c r="O55" s="9"/>
      <c r="P55" s="52"/>
      <c r="R55" s="69" t="str">
        <f t="shared" si="1"/>
        <v>2226</v>
      </c>
      <c r="S55" s="4" t="s">
        <v>1112</v>
      </c>
      <c r="U55" s="62"/>
      <c r="V55" s="63"/>
      <c r="W55" s="75">
        <f t="shared" si="3"/>
        <v>2226</v>
      </c>
      <c r="X55" s="65"/>
      <c r="Y55" s="66">
        <f t="shared" si="0"/>
        <v>0.16180555555555559</v>
      </c>
      <c r="Z55" s="76" t="str">
        <f t="shared" si="5"/>
        <v/>
      </c>
      <c r="AA55" s="77" t="str">
        <f t="shared" si="4"/>
        <v>Alles OK</v>
      </c>
      <c r="AE55" s="72" t="str">
        <f t="shared" si="2"/>
        <v/>
      </c>
    </row>
    <row r="56" spans="1:31" ht="13.05" customHeight="1">
      <c r="A56" s="8"/>
      <c r="B56" s="4" t="s">
        <v>105</v>
      </c>
      <c r="C56" s="4" t="s">
        <v>106</v>
      </c>
      <c r="D56" s="4" t="s">
        <v>205</v>
      </c>
      <c r="E56" s="4" t="s">
        <v>36</v>
      </c>
      <c r="F56" s="4" t="s">
        <v>36</v>
      </c>
      <c r="G56" s="4"/>
      <c r="H56" s="4" t="s">
        <v>206</v>
      </c>
      <c r="I56" s="4" t="s">
        <v>36</v>
      </c>
      <c r="J56" s="4"/>
      <c r="K56" s="4" t="s">
        <v>110</v>
      </c>
      <c r="L56" s="4" t="s">
        <v>207</v>
      </c>
      <c r="M56" s="4"/>
      <c r="N56" s="4" t="s">
        <v>208</v>
      </c>
      <c r="O56" s="9" t="s">
        <v>209</v>
      </c>
      <c r="P56" s="52"/>
      <c r="R56" s="69">
        <f t="shared" si="1"/>
        <v>0</v>
      </c>
      <c r="U56" s="62"/>
      <c r="V56" s="63"/>
      <c r="W56" s="75">
        <f t="shared" si="3"/>
        <v>0</v>
      </c>
      <c r="X56" s="65"/>
      <c r="Y56" s="66">
        <f t="shared" si="0"/>
        <v>0.10416666666666663</v>
      </c>
      <c r="Z56" s="76" t="str">
        <f t="shared" si="5"/>
        <v/>
      </c>
      <c r="AA56" s="77" t="str">
        <f t="shared" si="4"/>
        <v/>
      </c>
      <c r="AE56" s="72" t="str">
        <f t="shared" si="2"/>
        <v/>
      </c>
    </row>
    <row r="57" spans="1:31" ht="13.05" customHeight="1">
      <c r="A57" s="8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9"/>
      <c r="P57" s="52"/>
      <c r="R57" s="69">
        <f t="shared" si="1"/>
        <v>0</v>
      </c>
      <c r="U57" s="62"/>
      <c r="V57" s="63"/>
      <c r="W57" s="75">
        <f t="shared" si="3"/>
        <v>0</v>
      </c>
      <c r="X57" s="65"/>
      <c r="Y57" s="66">
        <f t="shared" si="0"/>
        <v>0</v>
      </c>
      <c r="Z57" s="76" t="str">
        <f t="shared" si="5"/>
        <v/>
      </c>
      <c r="AA57" s="77" t="str">
        <f t="shared" si="4"/>
        <v/>
      </c>
      <c r="AE57" s="72" t="str">
        <f t="shared" si="2"/>
        <v/>
      </c>
    </row>
    <row r="58" spans="1:31" ht="13.05" customHeight="1">
      <c r="A58" s="8" t="s">
        <v>124</v>
      </c>
      <c r="B58" s="4" t="s">
        <v>41</v>
      </c>
      <c r="C58" s="4" t="s">
        <v>121</v>
      </c>
      <c r="D58" s="4" t="s">
        <v>210</v>
      </c>
      <c r="E58" s="4" t="s">
        <v>26</v>
      </c>
      <c r="F58" s="4" t="s">
        <v>119</v>
      </c>
      <c r="G58" s="4"/>
      <c r="H58" s="4" t="s">
        <v>122</v>
      </c>
      <c r="I58" s="4" t="s">
        <v>47</v>
      </c>
      <c r="J58" s="4"/>
      <c r="K58" s="4"/>
      <c r="L58" s="4" t="s">
        <v>48</v>
      </c>
      <c r="M58" s="4" t="s">
        <v>211</v>
      </c>
      <c r="N58" s="4"/>
      <c r="O58" s="9"/>
      <c r="P58" s="52"/>
      <c r="R58" s="69" t="str">
        <f t="shared" si="1"/>
        <v>2227</v>
      </c>
      <c r="S58" s="4" t="s">
        <v>1100</v>
      </c>
      <c r="T58" s="112" t="s">
        <v>1115</v>
      </c>
      <c r="U58" s="62"/>
      <c r="V58" s="63"/>
      <c r="W58" s="75">
        <f t="shared" si="3"/>
        <v>2227</v>
      </c>
      <c r="X58" s="65"/>
      <c r="Y58" s="66">
        <f t="shared" si="0"/>
        <v>0.13750000000000001</v>
      </c>
      <c r="Z58" s="76" t="str">
        <f t="shared" si="5"/>
        <v/>
      </c>
      <c r="AA58" s="77" t="str">
        <f t="shared" si="4"/>
        <v>Pause zu früh</v>
      </c>
      <c r="AE58" s="72" t="str">
        <f t="shared" si="2"/>
        <v/>
      </c>
    </row>
    <row r="59" spans="1:31" ht="13.05" customHeight="1">
      <c r="A59" s="8"/>
      <c r="B59" s="4" t="s">
        <v>87</v>
      </c>
      <c r="C59" s="4" t="s">
        <v>212</v>
      </c>
      <c r="D59" s="4" t="s">
        <v>213</v>
      </c>
      <c r="E59" s="4" t="s">
        <v>47</v>
      </c>
      <c r="F59" s="4" t="s">
        <v>132</v>
      </c>
      <c r="G59" s="4"/>
      <c r="H59" s="4" t="s">
        <v>214</v>
      </c>
      <c r="I59" s="4" t="s">
        <v>47</v>
      </c>
      <c r="J59" s="4"/>
      <c r="K59" s="4" t="s">
        <v>215</v>
      </c>
      <c r="L59" s="4" t="s">
        <v>216</v>
      </c>
      <c r="M59" s="4"/>
      <c r="N59" s="4" t="s">
        <v>217</v>
      </c>
      <c r="O59" s="9" t="s">
        <v>218</v>
      </c>
      <c r="P59" s="52"/>
      <c r="R59" s="69">
        <f t="shared" si="1"/>
        <v>0</v>
      </c>
      <c r="U59" s="62"/>
      <c r="V59" s="63"/>
      <c r="W59" s="75">
        <f t="shared" si="3"/>
        <v>0</v>
      </c>
      <c r="X59" s="65"/>
      <c r="Y59" s="66">
        <f t="shared" si="0"/>
        <v>0.16666666666666669</v>
      </c>
      <c r="Z59" s="76" t="str">
        <f t="shared" si="5"/>
        <v/>
      </c>
      <c r="AA59" s="77" t="str">
        <f t="shared" si="4"/>
        <v/>
      </c>
      <c r="AE59" s="72" t="str">
        <f t="shared" si="2"/>
        <v/>
      </c>
    </row>
    <row r="60" spans="1:31" ht="13.05" customHeight="1">
      <c r="A60" s="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9"/>
      <c r="P60" s="52"/>
      <c r="R60" s="69">
        <f t="shared" si="1"/>
        <v>0</v>
      </c>
      <c r="U60" s="62"/>
      <c r="V60" s="63"/>
      <c r="W60" s="75">
        <f t="shared" si="3"/>
        <v>0</v>
      </c>
      <c r="X60" s="65"/>
      <c r="Y60" s="66">
        <f t="shared" si="0"/>
        <v>0</v>
      </c>
      <c r="Z60" s="76" t="str">
        <f t="shared" si="5"/>
        <v/>
      </c>
      <c r="AA60" s="77" t="str">
        <f t="shared" si="4"/>
        <v/>
      </c>
      <c r="AE60" s="72" t="str">
        <f t="shared" si="2"/>
        <v/>
      </c>
    </row>
    <row r="61" spans="1:31" ht="13.05" customHeight="1">
      <c r="A61" s="8" t="s">
        <v>201</v>
      </c>
      <c r="B61" s="4" t="s">
        <v>33</v>
      </c>
      <c r="C61" s="4" t="s">
        <v>198</v>
      </c>
      <c r="D61" s="4" t="s">
        <v>219</v>
      </c>
      <c r="E61" s="4" t="s">
        <v>26</v>
      </c>
      <c r="F61" s="4" t="s">
        <v>36</v>
      </c>
      <c r="G61" s="4"/>
      <c r="H61" s="4" t="s">
        <v>199</v>
      </c>
      <c r="I61" s="4" t="s">
        <v>36</v>
      </c>
      <c r="J61" s="4"/>
      <c r="K61" s="4"/>
      <c r="L61" s="4" t="s">
        <v>146</v>
      </c>
      <c r="M61" s="4" t="s">
        <v>220</v>
      </c>
      <c r="N61" s="4"/>
      <c r="O61" s="9"/>
      <c r="P61" s="52"/>
      <c r="R61" s="69" t="str">
        <f t="shared" si="1"/>
        <v>2228</v>
      </c>
      <c r="S61" s="4" t="s">
        <v>1112</v>
      </c>
      <c r="U61" s="62"/>
      <c r="V61" s="63"/>
      <c r="W61" s="75">
        <f t="shared" si="3"/>
        <v>2228</v>
      </c>
      <c r="X61" s="65"/>
      <c r="Y61" s="66">
        <f t="shared" si="0"/>
        <v>0.16388888888888892</v>
      </c>
      <c r="Z61" s="76" t="str">
        <f t="shared" si="5"/>
        <v/>
      </c>
      <c r="AA61" s="77" t="str">
        <f t="shared" si="4"/>
        <v>Alles OK</v>
      </c>
      <c r="AE61" s="72" t="str">
        <f t="shared" si="2"/>
        <v/>
      </c>
    </row>
    <row r="62" spans="1:31" ht="13.05" customHeight="1">
      <c r="A62" s="8"/>
      <c r="B62" s="4" t="s">
        <v>33</v>
      </c>
      <c r="C62" s="4" t="s">
        <v>169</v>
      </c>
      <c r="D62" s="4" t="s">
        <v>221</v>
      </c>
      <c r="E62" s="4" t="s">
        <v>36</v>
      </c>
      <c r="F62" s="4" t="s">
        <v>36</v>
      </c>
      <c r="G62" s="4"/>
      <c r="H62" s="4" t="s">
        <v>222</v>
      </c>
      <c r="I62" s="4" t="s">
        <v>36</v>
      </c>
      <c r="J62" s="4"/>
      <c r="K62" s="4" t="s">
        <v>172</v>
      </c>
      <c r="L62" s="4" t="s">
        <v>223</v>
      </c>
      <c r="M62" s="4"/>
      <c r="N62" s="4" t="s">
        <v>224</v>
      </c>
      <c r="O62" s="9" t="s">
        <v>180</v>
      </c>
      <c r="P62" s="52"/>
      <c r="R62" s="69">
        <f t="shared" si="1"/>
        <v>0</v>
      </c>
      <c r="U62" s="62"/>
      <c r="V62" s="63"/>
      <c r="W62" s="75">
        <f t="shared" si="3"/>
        <v>0</v>
      </c>
      <c r="X62" s="65"/>
      <c r="Y62" s="66">
        <f t="shared" si="0"/>
        <v>0.16666666666666669</v>
      </c>
      <c r="Z62" s="76" t="str">
        <f t="shared" si="5"/>
        <v/>
      </c>
      <c r="AA62" s="77" t="str">
        <f t="shared" si="4"/>
        <v/>
      </c>
      <c r="AE62" s="72" t="str">
        <f t="shared" si="2"/>
        <v/>
      </c>
    </row>
    <row r="63" spans="1:31" ht="13.05" customHeight="1">
      <c r="A63" s="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9"/>
      <c r="P63" s="52"/>
      <c r="R63" s="69">
        <f t="shared" si="1"/>
        <v>0</v>
      </c>
      <c r="U63" s="62"/>
      <c r="V63" s="63"/>
      <c r="W63" s="75">
        <f t="shared" si="3"/>
        <v>0</v>
      </c>
      <c r="X63" s="65"/>
      <c r="Y63" s="66">
        <f t="shared" si="0"/>
        <v>0</v>
      </c>
      <c r="Z63" s="76" t="str">
        <f t="shared" si="5"/>
        <v/>
      </c>
      <c r="AA63" s="77" t="str">
        <f t="shared" si="4"/>
        <v/>
      </c>
      <c r="AE63" s="72" t="str">
        <f t="shared" si="2"/>
        <v/>
      </c>
    </row>
    <row r="64" spans="1:31" ht="13.05" customHeight="1">
      <c r="A64" s="8" t="s">
        <v>39</v>
      </c>
      <c r="B64" s="4" t="s">
        <v>53</v>
      </c>
      <c r="C64" s="4" t="s">
        <v>225</v>
      </c>
      <c r="D64" s="4" t="s">
        <v>226</v>
      </c>
      <c r="E64" s="4" t="s">
        <v>26</v>
      </c>
      <c r="F64" s="4" t="s">
        <v>36</v>
      </c>
      <c r="G64" s="4"/>
      <c r="H64" s="4" t="s">
        <v>227</v>
      </c>
      <c r="I64" s="4" t="s">
        <v>26</v>
      </c>
      <c r="J64" s="4"/>
      <c r="K64" s="4"/>
      <c r="L64" s="4"/>
      <c r="M64" s="4" t="s">
        <v>228</v>
      </c>
      <c r="N64" s="4"/>
      <c r="O64" s="9"/>
      <c r="P64" s="52"/>
      <c r="R64" s="69" t="str">
        <f t="shared" si="1"/>
        <v>2229</v>
      </c>
      <c r="S64" s="4" t="s">
        <v>1100</v>
      </c>
      <c r="U64" s="62"/>
      <c r="V64" s="63"/>
      <c r="W64" s="75">
        <f t="shared" si="3"/>
        <v>2229</v>
      </c>
      <c r="X64" s="65"/>
      <c r="Y64" s="66">
        <f t="shared" si="0"/>
        <v>4.5138888888888895E-2</v>
      </c>
      <c r="Z64" s="76" t="str">
        <f t="shared" si="5"/>
        <v/>
      </c>
      <c r="AA64" s="77" t="str">
        <f t="shared" si="4"/>
        <v>Pause zu früh</v>
      </c>
      <c r="AE64" s="72" t="str">
        <f t="shared" si="2"/>
        <v/>
      </c>
    </row>
    <row r="65" spans="1:31" ht="13.05" customHeight="1">
      <c r="A65" s="8"/>
      <c r="B65" s="4" t="s">
        <v>138</v>
      </c>
      <c r="C65" s="4" t="s">
        <v>34</v>
      </c>
      <c r="D65" s="4" t="s">
        <v>37</v>
      </c>
      <c r="E65" s="4" t="s">
        <v>38</v>
      </c>
      <c r="F65" s="4" t="s">
        <v>38</v>
      </c>
      <c r="G65" s="4"/>
      <c r="H65" s="4" t="s">
        <v>184</v>
      </c>
      <c r="I65" s="4" t="s">
        <v>38</v>
      </c>
      <c r="J65" s="4"/>
      <c r="K65" s="4" t="s">
        <v>32</v>
      </c>
      <c r="L65" s="4" t="s">
        <v>100</v>
      </c>
      <c r="M65" s="4"/>
      <c r="N65" s="4"/>
      <c r="O65" s="9"/>
      <c r="P65" s="52"/>
      <c r="R65" s="69">
        <f t="shared" si="1"/>
        <v>0</v>
      </c>
      <c r="U65" s="62"/>
      <c r="V65" s="63"/>
      <c r="W65" s="75">
        <f t="shared" si="3"/>
        <v>0</v>
      </c>
      <c r="X65" s="65"/>
      <c r="Y65" s="66">
        <f t="shared" si="0"/>
        <v>8.3333333333333315E-2</v>
      </c>
      <c r="Z65" s="76" t="str">
        <f t="shared" si="5"/>
        <v/>
      </c>
      <c r="AA65" s="77" t="str">
        <f t="shared" si="4"/>
        <v/>
      </c>
      <c r="AE65" s="72" t="str">
        <f t="shared" si="2"/>
        <v/>
      </c>
    </row>
    <row r="66" spans="1:31" ht="13.05" customHeight="1">
      <c r="A66" s="8"/>
      <c r="B66" s="4" t="s">
        <v>81</v>
      </c>
      <c r="C66" s="4" t="s">
        <v>82</v>
      </c>
      <c r="D66" s="4" t="s">
        <v>229</v>
      </c>
      <c r="E66" s="4" t="s">
        <v>47</v>
      </c>
      <c r="F66" s="4" t="s">
        <v>153</v>
      </c>
      <c r="G66" s="4"/>
      <c r="H66" s="4" t="s">
        <v>230</v>
      </c>
      <c r="I66" s="4" t="s">
        <v>47</v>
      </c>
      <c r="J66" s="4"/>
      <c r="K66" s="4" t="s">
        <v>85</v>
      </c>
      <c r="L66" s="4" t="s">
        <v>71</v>
      </c>
      <c r="M66" s="4"/>
      <c r="N66" s="4" t="s">
        <v>231</v>
      </c>
      <c r="O66" s="9" t="s">
        <v>232</v>
      </c>
      <c r="P66" s="52"/>
      <c r="R66" s="69">
        <f t="shared" si="1"/>
        <v>0</v>
      </c>
      <c r="U66" s="62"/>
      <c r="V66" s="63"/>
      <c r="W66" s="75">
        <f t="shared" si="3"/>
        <v>0</v>
      </c>
      <c r="X66" s="65"/>
      <c r="Y66" s="66">
        <f t="shared" ref="Y66:Y129" si="6">H66-D66+(H66&lt;D66)</f>
        <v>8.3333333333333315E-2</v>
      </c>
      <c r="Z66" s="76" t="str">
        <f t="shared" si="5"/>
        <v/>
      </c>
      <c r="AA66" s="77" t="str">
        <f t="shared" si="4"/>
        <v/>
      </c>
      <c r="AE66" s="72" t="str">
        <f t="shared" si="2"/>
        <v/>
      </c>
    </row>
    <row r="67" spans="1:31" ht="13.05" customHeight="1">
      <c r="A67" s="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9"/>
      <c r="P67" s="52"/>
      <c r="R67" s="69">
        <f t="shared" si="1"/>
        <v>0</v>
      </c>
      <c r="U67" s="62"/>
      <c r="V67" s="63"/>
      <c r="W67" s="75">
        <f t="shared" si="3"/>
        <v>0</v>
      </c>
      <c r="X67" s="65"/>
      <c r="Y67" s="66">
        <f t="shared" si="6"/>
        <v>0</v>
      </c>
      <c r="Z67" s="76" t="str">
        <f t="shared" si="5"/>
        <v/>
      </c>
      <c r="AA67" s="77" t="str">
        <f t="shared" si="4"/>
        <v/>
      </c>
      <c r="AE67" s="72" t="str">
        <f t="shared" si="2"/>
        <v/>
      </c>
    </row>
    <row r="68" spans="1:31" ht="13.05" customHeight="1">
      <c r="A68" s="8" t="s">
        <v>93</v>
      </c>
      <c r="B68" s="4" t="s">
        <v>233</v>
      </c>
      <c r="C68" s="4" t="s">
        <v>234</v>
      </c>
      <c r="D68" s="4" t="s">
        <v>235</v>
      </c>
      <c r="E68" s="4" t="s">
        <v>26</v>
      </c>
      <c r="F68" s="4" t="s">
        <v>38</v>
      </c>
      <c r="G68" s="4"/>
      <c r="H68" s="4" t="s">
        <v>236</v>
      </c>
      <c r="I68" s="4" t="s">
        <v>38</v>
      </c>
      <c r="J68" s="4"/>
      <c r="K68" s="4"/>
      <c r="L68" s="4" t="s">
        <v>154</v>
      </c>
      <c r="M68" s="4" t="s">
        <v>237</v>
      </c>
      <c r="N68" s="4"/>
      <c r="O68" s="9"/>
      <c r="P68" s="52"/>
      <c r="R68" s="69" t="str">
        <f t="shared" ref="R68:R131" si="7">A68</f>
        <v>2230</v>
      </c>
      <c r="S68" s="4" t="s">
        <v>1112</v>
      </c>
      <c r="U68" s="62"/>
      <c r="V68" s="63"/>
      <c r="W68" s="75">
        <f t="shared" si="3"/>
        <v>2230</v>
      </c>
      <c r="X68" s="65"/>
      <c r="Y68" s="66">
        <f t="shared" si="6"/>
        <v>0.17430555555555555</v>
      </c>
      <c r="Z68" s="76" t="str">
        <f t="shared" si="5"/>
        <v/>
      </c>
      <c r="AA68" s="77" t="str">
        <f t="shared" si="4"/>
        <v>Alles OK</v>
      </c>
      <c r="AE68" s="72" t="str">
        <f t="shared" ref="AE68:AE131" si="8">IF(O68&gt;="08:31",O68,"")</f>
        <v/>
      </c>
    </row>
    <row r="69" spans="1:31" ht="13.05" customHeight="1">
      <c r="A69" s="8"/>
      <c r="B69" s="4" t="s">
        <v>87</v>
      </c>
      <c r="C69" s="4" t="s">
        <v>88</v>
      </c>
      <c r="D69" s="4" t="s">
        <v>91</v>
      </c>
      <c r="E69" s="4" t="s">
        <v>44</v>
      </c>
      <c r="F69" s="4" t="s">
        <v>90</v>
      </c>
      <c r="G69" s="4"/>
      <c r="H69" s="4" t="s">
        <v>231</v>
      </c>
      <c r="I69" s="4" t="s">
        <v>44</v>
      </c>
      <c r="J69" s="4"/>
      <c r="K69" s="4" t="s">
        <v>80</v>
      </c>
      <c r="L69" s="4" t="s">
        <v>238</v>
      </c>
      <c r="M69" s="4"/>
      <c r="N69" s="4" t="s">
        <v>239</v>
      </c>
      <c r="O69" s="9" t="s">
        <v>79</v>
      </c>
      <c r="P69" s="52"/>
      <c r="R69" s="69">
        <f t="shared" si="7"/>
        <v>0</v>
      </c>
      <c r="U69" s="62"/>
      <c r="V69" s="63"/>
      <c r="W69" s="75">
        <f t="shared" si="3"/>
        <v>0</v>
      </c>
      <c r="X69" s="65"/>
      <c r="Y69" s="66">
        <f t="shared" si="6"/>
        <v>8.333333333333337E-2</v>
      </c>
      <c r="Z69" s="76" t="str">
        <f t="shared" si="5"/>
        <v/>
      </c>
      <c r="AA69" s="77" t="str">
        <f t="shared" si="4"/>
        <v/>
      </c>
      <c r="AE69" s="72" t="str">
        <f t="shared" si="8"/>
        <v/>
      </c>
    </row>
    <row r="70" spans="1:31" ht="13.05" customHeight="1">
      <c r="A70" s="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9"/>
      <c r="P70" s="52"/>
      <c r="R70" s="69">
        <f t="shared" si="7"/>
        <v>0</v>
      </c>
      <c r="U70" s="62"/>
      <c r="V70" s="63"/>
      <c r="W70" s="75">
        <f t="shared" si="3"/>
        <v>0</v>
      </c>
      <c r="X70" s="65"/>
      <c r="Y70" s="66">
        <f t="shared" si="6"/>
        <v>0</v>
      </c>
      <c r="Z70" s="76" t="str">
        <f t="shared" si="5"/>
        <v/>
      </c>
      <c r="AA70" s="77" t="str">
        <f t="shared" si="4"/>
        <v/>
      </c>
      <c r="AE70" s="72" t="str">
        <f t="shared" si="8"/>
        <v/>
      </c>
    </row>
    <row r="71" spans="1:31" ht="13.05" customHeight="1">
      <c r="A71" s="8" t="s">
        <v>154</v>
      </c>
      <c r="B71" s="4" t="s">
        <v>81</v>
      </c>
      <c r="C71" s="4" t="s">
        <v>151</v>
      </c>
      <c r="D71" s="4" t="s">
        <v>240</v>
      </c>
      <c r="E71" s="4" t="s">
        <v>26</v>
      </c>
      <c r="F71" s="4" t="s">
        <v>241</v>
      </c>
      <c r="G71" s="4"/>
      <c r="H71" s="4" t="s">
        <v>152</v>
      </c>
      <c r="I71" s="4" t="s">
        <v>47</v>
      </c>
      <c r="J71" s="4"/>
      <c r="K71" s="4"/>
      <c r="L71" s="4" t="s">
        <v>134</v>
      </c>
      <c r="M71" s="4" t="s">
        <v>242</v>
      </c>
      <c r="N71" s="4"/>
      <c r="O71" s="9"/>
      <c r="P71" s="52"/>
      <c r="R71" s="69" t="str">
        <f t="shared" si="7"/>
        <v>2231</v>
      </c>
      <c r="S71" s="4" t="s">
        <v>1112</v>
      </c>
      <c r="U71" s="62"/>
      <c r="V71" s="63"/>
      <c r="W71" s="75">
        <f t="shared" ref="W71:W134" si="9">A71-0</f>
        <v>2231</v>
      </c>
      <c r="X71" s="65"/>
      <c r="Y71" s="66">
        <f t="shared" si="6"/>
        <v>0.13958333333333334</v>
      </c>
      <c r="Z71" s="76" t="str">
        <f t="shared" si="5"/>
        <v/>
      </c>
      <c r="AA71" s="77" t="str">
        <f t="shared" ref="AA71:AA134" si="10">IF(OR(M71="",H71=""),"",IF((TIMEVALUE(H71)-TIMEVALUE(M71))&lt;TIME(3,30,0),"Pause zu früh",IF((TIMEVALUE(H71)-TIMEVALUE(M71))&gt;TIME(4,30,0),"Pause zu spät","Alles OK")))</f>
        <v>Alles OK</v>
      </c>
      <c r="AE71" s="72" t="str">
        <f t="shared" si="8"/>
        <v/>
      </c>
    </row>
    <row r="72" spans="1:31" ht="13.05" customHeight="1">
      <c r="A72" s="8"/>
      <c r="B72" s="4" t="s">
        <v>233</v>
      </c>
      <c r="C72" s="4" t="s">
        <v>234</v>
      </c>
      <c r="D72" s="4" t="s">
        <v>236</v>
      </c>
      <c r="E72" s="4" t="s">
        <v>38</v>
      </c>
      <c r="F72" s="4" t="s">
        <v>38</v>
      </c>
      <c r="G72" s="4"/>
      <c r="H72" s="4" t="s">
        <v>243</v>
      </c>
      <c r="I72" s="4" t="s">
        <v>38</v>
      </c>
      <c r="J72" s="4"/>
      <c r="K72" s="4" t="s">
        <v>93</v>
      </c>
      <c r="L72" s="4" t="s">
        <v>244</v>
      </c>
      <c r="M72" s="4"/>
      <c r="N72" s="4" t="s">
        <v>245</v>
      </c>
      <c r="O72" s="9" t="s">
        <v>246</v>
      </c>
      <c r="P72" s="52"/>
      <c r="R72" s="69">
        <f t="shared" si="7"/>
        <v>0</v>
      </c>
      <c r="U72" s="62"/>
      <c r="V72" s="63"/>
      <c r="W72" s="75">
        <f t="shared" si="9"/>
        <v>0</v>
      </c>
      <c r="X72" s="65"/>
      <c r="Y72" s="66">
        <f t="shared" si="6"/>
        <v>0.13888888888888884</v>
      </c>
      <c r="Z72" s="76" t="str">
        <f t="shared" ref="Z72:Z135" si="11">IF((Y72-$AB$14)&lt;0,"",(Y72-$AB$14))</f>
        <v/>
      </c>
      <c r="AA72" s="77" t="str">
        <f t="shared" si="10"/>
        <v/>
      </c>
      <c r="AE72" s="72" t="str">
        <f t="shared" si="8"/>
        <v/>
      </c>
    </row>
    <row r="73" spans="1:31" ht="13.05" customHeight="1">
      <c r="A73" s="5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7"/>
      <c r="P73" s="52"/>
      <c r="R73" s="69">
        <f t="shared" si="7"/>
        <v>0</v>
      </c>
      <c r="U73" s="62"/>
      <c r="V73" s="63"/>
      <c r="W73" s="75">
        <f t="shared" si="9"/>
        <v>0</v>
      </c>
      <c r="X73" s="65"/>
      <c r="Y73" s="66">
        <f t="shared" si="6"/>
        <v>0</v>
      </c>
      <c r="Z73" s="76" t="str">
        <f t="shared" si="11"/>
        <v/>
      </c>
      <c r="AA73" s="77" t="str">
        <f t="shared" si="10"/>
        <v/>
      </c>
      <c r="AE73" s="72" t="str">
        <f t="shared" si="8"/>
        <v/>
      </c>
    </row>
    <row r="74" spans="1:31" ht="13.05" customHeight="1">
      <c r="A74" s="113" t="s">
        <v>11</v>
      </c>
      <c r="B74" s="114"/>
      <c r="C74" s="114"/>
      <c r="D74" s="115"/>
      <c r="E74" s="113" t="s">
        <v>1064</v>
      </c>
      <c r="F74" s="114"/>
      <c r="G74" s="114"/>
      <c r="H74" s="114"/>
      <c r="I74" s="114"/>
      <c r="J74" s="114"/>
      <c r="K74" s="114"/>
      <c r="L74" s="114"/>
      <c r="M74" s="115"/>
      <c r="N74" s="41" t="s">
        <v>19</v>
      </c>
      <c r="O74" s="42">
        <v>2</v>
      </c>
      <c r="P74" s="52"/>
      <c r="R74" s="69" t="str">
        <f t="shared" si="7"/>
        <v>MICROBUS - Dienstdatei</v>
      </c>
      <c r="U74" s="62"/>
      <c r="V74" s="63"/>
      <c r="W74" s="75" t="e">
        <f t="shared" si="9"/>
        <v>#VALUE!</v>
      </c>
      <c r="X74" s="65"/>
      <c r="Y74" s="66">
        <f t="shared" si="6"/>
        <v>0</v>
      </c>
      <c r="Z74" s="76" t="str">
        <f t="shared" si="11"/>
        <v/>
      </c>
      <c r="AA74" s="77" t="str">
        <f t="shared" si="10"/>
        <v/>
      </c>
      <c r="AE74" s="72" t="str">
        <f t="shared" si="8"/>
        <v/>
      </c>
    </row>
    <row r="75" spans="1:31" ht="13.05" customHeight="1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52"/>
      <c r="R75" s="69">
        <f t="shared" si="7"/>
        <v>0</v>
      </c>
      <c r="U75" s="62"/>
      <c r="V75" s="63"/>
      <c r="W75" s="75">
        <f t="shared" si="9"/>
        <v>0</v>
      </c>
      <c r="X75" s="65"/>
      <c r="Y75" s="66">
        <f t="shared" si="6"/>
        <v>0</v>
      </c>
      <c r="Z75" s="76" t="str">
        <f t="shared" si="11"/>
        <v/>
      </c>
      <c r="AA75" s="77" t="str">
        <f t="shared" si="10"/>
        <v/>
      </c>
      <c r="AE75" s="72" t="str">
        <f t="shared" si="8"/>
        <v/>
      </c>
    </row>
    <row r="76" spans="1:31" ht="13.05" customHeight="1">
      <c r="A76" s="122" t="s">
        <v>18</v>
      </c>
      <c r="B76" s="122"/>
      <c r="C76" s="122"/>
      <c r="D76" s="122"/>
      <c r="E76" s="113" t="s">
        <v>1067</v>
      </c>
      <c r="F76" s="114"/>
      <c r="G76" s="114"/>
      <c r="H76" s="114"/>
      <c r="I76" s="114"/>
      <c r="J76" s="114"/>
      <c r="K76" s="114"/>
      <c r="L76" s="115"/>
      <c r="M76" s="113" t="s">
        <v>22</v>
      </c>
      <c r="N76" s="123"/>
      <c r="O76" s="115"/>
      <c r="P76" s="52"/>
      <c r="R76" s="69" t="str">
        <f t="shared" si="7"/>
        <v>Jenaer Nahverkehrs-GmbH</v>
      </c>
      <c r="U76" s="62"/>
      <c r="V76" s="63"/>
      <c r="W76" s="75" t="e">
        <f t="shared" si="9"/>
        <v>#VALUE!</v>
      </c>
      <c r="X76" s="65"/>
      <c r="Y76" s="66">
        <f t="shared" si="6"/>
        <v>0</v>
      </c>
      <c r="Z76" s="76" t="str">
        <f t="shared" si="11"/>
        <v/>
      </c>
      <c r="AA76" s="77" t="str">
        <f t="shared" si="10"/>
        <v/>
      </c>
      <c r="AE76" s="72" t="str">
        <f t="shared" si="8"/>
        <v/>
      </c>
    </row>
    <row r="77" spans="1:31" ht="13.05" customHeight="1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52"/>
      <c r="R77" s="69">
        <f t="shared" si="7"/>
        <v>0</v>
      </c>
      <c r="U77" s="62"/>
      <c r="V77" s="63"/>
      <c r="W77" s="75">
        <f t="shared" si="9"/>
        <v>0</v>
      </c>
      <c r="X77" s="65"/>
      <c r="Y77" s="66">
        <f t="shared" si="6"/>
        <v>0</v>
      </c>
      <c r="Z77" s="76" t="str">
        <f t="shared" si="11"/>
        <v/>
      </c>
      <c r="AA77" s="77" t="str">
        <f t="shared" si="10"/>
        <v/>
      </c>
      <c r="AE77" s="72" t="str">
        <f t="shared" si="8"/>
        <v/>
      </c>
    </row>
    <row r="78" spans="1:31" ht="13.05" customHeight="1">
      <c r="A78" s="45" t="s">
        <v>0</v>
      </c>
      <c r="B78" s="46" t="s">
        <v>1</v>
      </c>
      <c r="C78" s="46" t="s">
        <v>3</v>
      </c>
      <c r="D78" s="46" t="s">
        <v>12</v>
      </c>
      <c r="E78" s="46" t="s">
        <v>14</v>
      </c>
      <c r="F78" s="46" t="s">
        <v>15</v>
      </c>
      <c r="G78" s="46"/>
      <c r="H78" s="46" t="s">
        <v>16</v>
      </c>
      <c r="I78" s="46" t="s">
        <v>14</v>
      </c>
      <c r="J78" s="46"/>
      <c r="K78" s="46" t="s">
        <v>4</v>
      </c>
      <c r="L78" s="46" t="s">
        <v>6</v>
      </c>
      <c r="M78" s="46" t="s">
        <v>0</v>
      </c>
      <c r="N78" s="46" t="s">
        <v>0</v>
      </c>
      <c r="O78" s="47" t="s">
        <v>21</v>
      </c>
      <c r="P78" s="52"/>
      <c r="R78" s="69" t="str">
        <f t="shared" si="7"/>
        <v>Dienst-</v>
      </c>
      <c r="U78" s="62"/>
      <c r="V78" s="63"/>
      <c r="W78" s="75" t="e">
        <f t="shared" si="9"/>
        <v>#VALUE!</v>
      </c>
      <c r="X78" s="65"/>
      <c r="Y78" s="66" t="e">
        <f t="shared" si="6"/>
        <v>#VALUE!</v>
      </c>
      <c r="Z78" s="76" t="e">
        <f t="shared" si="11"/>
        <v>#VALUE!</v>
      </c>
      <c r="AA78" s="77" t="e">
        <f t="shared" si="10"/>
        <v>#VALUE!</v>
      </c>
      <c r="AE78" s="72" t="str">
        <f t="shared" si="8"/>
        <v>bez.</v>
      </c>
    </row>
    <row r="79" spans="1:31" ht="13.05" customHeight="1">
      <c r="A79" s="48" t="s">
        <v>2</v>
      </c>
      <c r="B79" s="49"/>
      <c r="C79" s="49"/>
      <c r="D79" s="49" t="s">
        <v>13</v>
      </c>
      <c r="E79" s="49"/>
      <c r="F79" s="49"/>
      <c r="G79" s="49"/>
      <c r="H79" s="49" t="s">
        <v>13</v>
      </c>
      <c r="I79" s="49"/>
      <c r="J79" s="49"/>
      <c r="K79" s="49" t="s">
        <v>5</v>
      </c>
      <c r="L79" s="49" t="s">
        <v>5</v>
      </c>
      <c r="M79" s="49" t="s">
        <v>7</v>
      </c>
      <c r="N79" s="49" t="s">
        <v>8</v>
      </c>
      <c r="O79" s="50" t="s">
        <v>17</v>
      </c>
      <c r="P79" s="52"/>
      <c r="R79" s="69" t="str">
        <f t="shared" si="7"/>
        <v>Nr.</v>
      </c>
      <c r="U79" s="62"/>
      <c r="V79" s="63"/>
      <c r="W79" s="75" t="e">
        <f t="shared" si="9"/>
        <v>#VALUE!</v>
      </c>
      <c r="X79" s="65"/>
      <c r="Y79" s="66" t="e">
        <f t="shared" si="6"/>
        <v>#VALUE!</v>
      </c>
      <c r="Z79" s="76" t="e">
        <f t="shared" si="11"/>
        <v>#VALUE!</v>
      </c>
      <c r="AA79" s="77" t="e">
        <f t="shared" si="10"/>
        <v>#VALUE!</v>
      </c>
      <c r="AE79" s="72" t="str">
        <f t="shared" si="8"/>
        <v>Zeit</v>
      </c>
    </row>
    <row r="80" spans="1:31" ht="13.05" customHeight="1">
      <c r="A80" s="8" t="s">
        <v>77</v>
      </c>
      <c r="B80" s="4" t="s">
        <v>81</v>
      </c>
      <c r="C80" s="4" t="s">
        <v>247</v>
      </c>
      <c r="D80" s="4" t="s">
        <v>248</v>
      </c>
      <c r="E80" s="4" t="s">
        <v>26</v>
      </c>
      <c r="F80" s="4" t="s">
        <v>241</v>
      </c>
      <c r="G80" s="4"/>
      <c r="H80" s="4" t="s">
        <v>249</v>
      </c>
      <c r="I80" s="4" t="s">
        <v>26</v>
      </c>
      <c r="J80" s="4"/>
      <c r="K80" s="4"/>
      <c r="L80" s="4"/>
      <c r="M80" s="4" t="s">
        <v>250</v>
      </c>
      <c r="N80" s="4" t="s">
        <v>180</v>
      </c>
      <c r="O80" s="9" t="s">
        <v>251</v>
      </c>
      <c r="P80" s="52"/>
      <c r="R80" s="69" t="str">
        <f t="shared" si="7"/>
        <v>2241</v>
      </c>
      <c r="S80" s="4" t="s">
        <v>1112</v>
      </c>
      <c r="U80" s="62"/>
      <c r="V80" s="63"/>
      <c r="W80" s="75">
        <f t="shared" si="9"/>
        <v>2241</v>
      </c>
      <c r="X80" s="65"/>
      <c r="Y80" s="66">
        <f t="shared" si="6"/>
        <v>0.13125000000000001</v>
      </c>
      <c r="Z80" s="76" t="str">
        <f t="shared" si="11"/>
        <v/>
      </c>
      <c r="AA80" s="77" t="str">
        <f t="shared" si="10"/>
        <v>Pause zu früh</v>
      </c>
      <c r="AE80" s="72" t="str">
        <f t="shared" si="8"/>
        <v/>
      </c>
    </row>
    <row r="81" spans="1:31" ht="13.05" customHeight="1">
      <c r="A81" s="8"/>
      <c r="B81" s="4" t="s">
        <v>138</v>
      </c>
      <c r="C81" s="4" t="s">
        <v>73</v>
      </c>
      <c r="D81" s="4" t="s">
        <v>75</v>
      </c>
      <c r="E81" s="4" t="s">
        <v>38</v>
      </c>
      <c r="F81" s="4" t="s">
        <v>38</v>
      </c>
      <c r="G81" s="4"/>
      <c r="H81" s="4" t="s">
        <v>252</v>
      </c>
      <c r="I81" s="4" t="s">
        <v>36</v>
      </c>
      <c r="J81" s="4"/>
      <c r="K81" s="4" t="s">
        <v>66</v>
      </c>
      <c r="L81" s="4" t="s">
        <v>253</v>
      </c>
      <c r="M81" s="4" t="s">
        <v>254</v>
      </c>
      <c r="N81" s="4" t="s">
        <v>255</v>
      </c>
      <c r="O81" s="9" t="s">
        <v>256</v>
      </c>
      <c r="P81" s="52"/>
      <c r="R81" s="69">
        <f t="shared" si="7"/>
        <v>0</v>
      </c>
      <c r="U81" s="62"/>
      <c r="V81" s="63"/>
      <c r="W81" s="75">
        <f t="shared" si="9"/>
        <v>0</v>
      </c>
      <c r="X81" s="65"/>
      <c r="Y81" s="66">
        <f t="shared" si="6"/>
        <v>0.14652777777777776</v>
      </c>
      <c r="Z81" s="76" t="str">
        <f t="shared" si="11"/>
        <v/>
      </c>
      <c r="AA81" s="77" t="str">
        <f t="shared" si="10"/>
        <v>Alles OK</v>
      </c>
      <c r="AE81" s="72" t="str">
        <f t="shared" si="8"/>
        <v/>
      </c>
    </row>
    <row r="82" spans="1:31" ht="13.05" customHeight="1">
      <c r="A82" s="10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9" t="s">
        <v>257</v>
      </c>
      <c r="P82" s="52"/>
      <c r="R82" s="69">
        <f t="shared" si="7"/>
        <v>0</v>
      </c>
      <c r="U82" s="62"/>
      <c r="V82" s="63"/>
      <c r="W82" s="75">
        <f t="shared" si="9"/>
        <v>0</v>
      </c>
      <c r="X82" s="65"/>
      <c r="Y82" s="66">
        <f t="shared" si="6"/>
        <v>0</v>
      </c>
      <c r="Z82" s="76" t="str">
        <f t="shared" si="11"/>
        <v/>
      </c>
      <c r="AA82" s="77" t="str">
        <f t="shared" si="10"/>
        <v/>
      </c>
      <c r="AE82" s="72" t="str">
        <f t="shared" si="8"/>
        <v/>
      </c>
    </row>
    <row r="83" spans="1:31" ht="13.05" customHeight="1">
      <c r="A83" s="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9"/>
      <c r="P83" s="52"/>
      <c r="R83" s="69">
        <f t="shared" si="7"/>
        <v>0</v>
      </c>
      <c r="U83" s="62"/>
      <c r="V83" s="63"/>
      <c r="W83" s="75">
        <f t="shared" si="9"/>
        <v>0</v>
      </c>
      <c r="X83" s="65"/>
      <c r="Y83" s="66">
        <f t="shared" si="6"/>
        <v>0</v>
      </c>
      <c r="Z83" s="76" t="str">
        <f t="shared" si="11"/>
        <v/>
      </c>
      <c r="AA83" s="77" t="str">
        <f t="shared" si="10"/>
        <v/>
      </c>
      <c r="AE83" s="72" t="str">
        <f t="shared" si="8"/>
        <v/>
      </c>
    </row>
    <row r="84" spans="1:31" ht="13.05" customHeight="1">
      <c r="A84" s="8" t="s">
        <v>258</v>
      </c>
      <c r="B84" s="4" t="s">
        <v>233</v>
      </c>
      <c r="C84" s="4" t="s">
        <v>259</v>
      </c>
      <c r="D84" s="4" t="s">
        <v>181</v>
      </c>
      <c r="E84" s="4" t="s">
        <v>26</v>
      </c>
      <c r="F84" s="4" t="s">
        <v>260</v>
      </c>
      <c r="G84" s="4"/>
      <c r="H84" s="4" t="s">
        <v>261</v>
      </c>
      <c r="I84" s="4" t="s">
        <v>26</v>
      </c>
      <c r="J84" s="4"/>
      <c r="K84" s="4"/>
      <c r="L84" s="4"/>
      <c r="M84" s="4" t="s">
        <v>183</v>
      </c>
      <c r="N84" s="4" t="s">
        <v>262</v>
      </c>
      <c r="O84" s="9" t="s">
        <v>263</v>
      </c>
      <c r="P84" s="52"/>
      <c r="R84" s="69" t="str">
        <f t="shared" si="7"/>
        <v>2242</v>
      </c>
      <c r="S84" s="4" t="s">
        <v>1100</v>
      </c>
      <c r="U84" s="62"/>
      <c r="V84" s="63"/>
      <c r="W84" s="75">
        <f t="shared" si="9"/>
        <v>2242</v>
      </c>
      <c r="X84" s="65"/>
      <c r="Y84" s="66">
        <f t="shared" si="6"/>
        <v>0.20486111111111113</v>
      </c>
      <c r="Z84" s="76">
        <f t="shared" si="11"/>
        <v>1.7361111111111133E-2</v>
      </c>
      <c r="AA84" s="77" t="str">
        <f t="shared" si="10"/>
        <v>Pause zu spät</v>
      </c>
      <c r="AE84" s="72" t="str">
        <f t="shared" si="8"/>
        <v/>
      </c>
    </row>
    <row r="85" spans="1:31" ht="13.05" customHeight="1">
      <c r="A85" s="8"/>
      <c r="B85" s="4" t="s">
        <v>33</v>
      </c>
      <c r="C85" s="4" t="s">
        <v>264</v>
      </c>
      <c r="D85" s="4" t="s">
        <v>265</v>
      </c>
      <c r="E85" s="4" t="s">
        <v>26</v>
      </c>
      <c r="F85" s="4" t="s">
        <v>38</v>
      </c>
      <c r="G85" s="4"/>
      <c r="H85" s="4" t="s">
        <v>266</v>
      </c>
      <c r="I85" s="4" t="s">
        <v>38</v>
      </c>
      <c r="J85" s="4"/>
      <c r="K85" s="4"/>
      <c r="L85" s="4" t="s">
        <v>49</v>
      </c>
      <c r="M85" s="4" t="s">
        <v>267</v>
      </c>
      <c r="N85" s="4" t="s">
        <v>268</v>
      </c>
      <c r="O85" s="9" t="s">
        <v>269</v>
      </c>
      <c r="P85" s="52"/>
      <c r="R85" s="69">
        <f t="shared" si="7"/>
        <v>0</v>
      </c>
      <c r="U85" s="62"/>
      <c r="V85" s="63"/>
      <c r="W85" s="75">
        <f t="shared" si="9"/>
        <v>0</v>
      </c>
      <c r="X85" s="65"/>
      <c r="Y85" s="66">
        <f t="shared" si="6"/>
        <v>7.5694444444444398E-2</v>
      </c>
      <c r="Z85" s="76" t="str">
        <f t="shared" si="11"/>
        <v/>
      </c>
      <c r="AA85" s="77" t="str">
        <f t="shared" si="10"/>
        <v>Pause zu früh</v>
      </c>
      <c r="AE85" s="72" t="str">
        <f t="shared" si="8"/>
        <v/>
      </c>
    </row>
    <row r="86" spans="1:31" ht="13.05" customHeight="1">
      <c r="A86" s="10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9" t="s">
        <v>270</v>
      </c>
      <c r="P86" s="52"/>
      <c r="R86" s="69">
        <f t="shared" si="7"/>
        <v>0</v>
      </c>
      <c r="U86" s="62"/>
      <c r="V86" s="63"/>
      <c r="W86" s="75">
        <f t="shared" si="9"/>
        <v>0</v>
      </c>
      <c r="X86" s="65"/>
      <c r="Y86" s="66">
        <f t="shared" si="6"/>
        <v>0</v>
      </c>
      <c r="Z86" s="76" t="str">
        <f t="shared" si="11"/>
        <v/>
      </c>
      <c r="AA86" s="77" t="str">
        <f t="shared" si="10"/>
        <v/>
      </c>
      <c r="AE86" s="72" t="str">
        <f t="shared" si="8"/>
        <v/>
      </c>
    </row>
    <row r="87" spans="1:31" ht="13.05" customHeight="1">
      <c r="A87" s="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9"/>
      <c r="P87" s="52"/>
      <c r="R87" s="69">
        <f t="shared" si="7"/>
        <v>0</v>
      </c>
      <c r="U87" s="62"/>
      <c r="V87" s="63"/>
      <c r="W87" s="75">
        <f t="shared" si="9"/>
        <v>0</v>
      </c>
      <c r="X87" s="65"/>
      <c r="Y87" s="66">
        <f t="shared" si="6"/>
        <v>0</v>
      </c>
      <c r="Z87" s="76" t="str">
        <f t="shared" si="11"/>
        <v/>
      </c>
      <c r="AA87" s="77" t="str">
        <f t="shared" si="10"/>
        <v/>
      </c>
      <c r="AE87" s="72" t="str">
        <f t="shared" si="8"/>
        <v/>
      </c>
    </row>
    <row r="88" spans="1:31" ht="13.05" customHeight="1">
      <c r="A88" s="8" t="s">
        <v>215</v>
      </c>
      <c r="B88" s="4" t="s">
        <v>87</v>
      </c>
      <c r="C88" s="4" t="s">
        <v>212</v>
      </c>
      <c r="D88" s="4" t="s">
        <v>271</v>
      </c>
      <c r="E88" s="4" t="s">
        <v>26</v>
      </c>
      <c r="F88" s="4" t="s">
        <v>47</v>
      </c>
      <c r="G88" s="4"/>
      <c r="H88" s="4" t="s">
        <v>213</v>
      </c>
      <c r="I88" s="4" t="s">
        <v>47</v>
      </c>
      <c r="J88" s="4"/>
      <c r="K88" s="4"/>
      <c r="L88" s="4" t="s">
        <v>124</v>
      </c>
      <c r="M88" s="4" t="s">
        <v>272</v>
      </c>
      <c r="N88" s="4" t="s">
        <v>273</v>
      </c>
      <c r="O88" s="9" t="s">
        <v>274</v>
      </c>
      <c r="P88" s="52"/>
      <c r="R88" s="69" t="str">
        <f t="shared" si="7"/>
        <v>2243</v>
      </c>
      <c r="S88" s="4" t="s">
        <v>1100</v>
      </c>
      <c r="U88" s="62"/>
      <c r="V88" s="63"/>
      <c r="W88" s="75">
        <f t="shared" si="9"/>
        <v>2243</v>
      </c>
      <c r="X88" s="65"/>
      <c r="Y88" s="66">
        <f t="shared" si="6"/>
        <v>0.21041666666666664</v>
      </c>
      <c r="Z88" s="76">
        <f t="shared" si="11"/>
        <v>2.2916666666666641E-2</v>
      </c>
      <c r="AA88" s="77" t="str">
        <f t="shared" si="10"/>
        <v>Pause zu spät</v>
      </c>
      <c r="AE88" s="72" t="str">
        <f t="shared" si="8"/>
        <v/>
      </c>
    </row>
    <row r="89" spans="1:31" ht="13.05" customHeight="1">
      <c r="A89" s="8"/>
      <c r="B89" s="4" t="s">
        <v>105</v>
      </c>
      <c r="C89" s="4" t="s">
        <v>106</v>
      </c>
      <c r="D89" s="4" t="s">
        <v>275</v>
      </c>
      <c r="E89" s="4" t="s">
        <v>36</v>
      </c>
      <c r="F89" s="4" t="s">
        <v>36</v>
      </c>
      <c r="G89" s="4"/>
      <c r="H89" s="4" t="s">
        <v>276</v>
      </c>
      <c r="I89" s="4" t="s">
        <v>36</v>
      </c>
      <c r="J89" s="4"/>
      <c r="K89" s="4" t="s">
        <v>207</v>
      </c>
      <c r="L89" s="4" t="s">
        <v>277</v>
      </c>
      <c r="M89" s="4" t="s">
        <v>278</v>
      </c>
      <c r="N89" s="4" t="s">
        <v>279</v>
      </c>
      <c r="O89" s="9" t="s">
        <v>280</v>
      </c>
      <c r="P89" s="52"/>
      <c r="R89" s="69">
        <f t="shared" si="7"/>
        <v>0</v>
      </c>
      <c r="U89" s="62"/>
      <c r="V89" s="63"/>
      <c r="W89" s="75">
        <f t="shared" si="9"/>
        <v>0</v>
      </c>
      <c r="X89" s="65"/>
      <c r="Y89" s="66">
        <f t="shared" si="6"/>
        <v>8.3333333333333259E-2</v>
      </c>
      <c r="Z89" s="76" t="str">
        <f t="shared" si="11"/>
        <v/>
      </c>
      <c r="AA89" s="77" t="str">
        <f t="shared" si="10"/>
        <v>Pause zu früh</v>
      </c>
      <c r="AE89" s="72" t="str">
        <f t="shared" si="8"/>
        <v/>
      </c>
    </row>
    <row r="90" spans="1:31" ht="13.05" customHeight="1">
      <c r="A90" s="10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9" t="s">
        <v>84</v>
      </c>
      <c r="P90" s="52"/>
      <c r="R90" s="69">
        <f t="shared" si="7"/>
        <v>0</v>
      </c>
      <c r="U90" s="62"/>
      <c r="V90" s="63"/>
      <c r="W90" s="75">
        <f t="shared" si="9"/>
        <v>0</v>
      </c>
      <c r="X90" s="65"/>
      <c r="Y90" s="66">
        <f t="shared" si="6"/>
        <v>0</v>
      </c>
      <c r="Z90" s="76" t="str">
        <f t="shared" si="11"/>
        <v/>
      </c>
      <c r="AA90" s="77" t="str">
        <f t="shared" si="10"/>
        <v/>
      </c>
      <c r="AE90" s="72" t="str">
        <f t="shared" si="8"/>
        <v/>
      </c>
    </row>
    <row r="91" spans="1:31" ht="13.05" customHeight="1">
      <c r="A91" s="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9"/>
      <c r="P91" s="52"/>
      <c r="R91" s="69">
        <f t="shared" si="7"/>
        <v>0</v>
      </c>
      <c r="U91" s="62"/>
      <c r="V91" s="63"/>
      <c r="W91" s="75">
        <f t="shared" si="9"/>
        <v>0</v>
      </c>
      <c r="X91" s="65"/>
      <c r="Y91" s="66">
        <f t="shared" si="6"/>
        <v>0</v>
      </c>
      <c r="Z91" s="76" t="str">
        <f t="shared" si="11"/>
        <v/>
      </c>
      <c r="AA91" s="77" t="str">
        <f t="shared" si="10"/>
        <v/>
      </c>
      <c r="AE91" s="72" t="str">
        <f t="shared" si="8"/>
        <v/>
      </c>
    </row>
    <row r="92" spans="1:31" ht="13.05" customHeight="1">
      <c r="A92" s="8" t="s">
        <v>110</v>
      </c>
      <c r="B92" s="4" t="s">
        <v>41</v>
      </c>
      <c r="C92" s="4" t="s">
        <v>281</v>
      </c>
      <c r="D92" s="4" t="s">
        <v>282</v>
      </c>
      <c r="E92" s="4" t="s">
        <v>26</v>
      </c>
      <c r="F92" s="4" t="s">
        <v>98</v>
      </c>
      <c r="G92" s="4"/>
      <c r="H92" s="4" t="s">
        <v>283</v>
      </c>
      <c r="I92" s="4" t="s">
        <v>26</v>
      </c>
      <c r="J92" s="4"/>
      <c r="K92" s="4"/>
      <c r="L92" s="4"/>
      <c r="M92" s="4" t="s">
        <v>284</v>
      </c>
      <c r="N92" s="4"/>
      <c r="O92" s="9"/>
      <c r="P92" s="52"/>
      <c r="R92" s="69" t="str">
        <f t="shared" si="7"/>
        <v>2244</v>
      </c>
      <c r="S92" s="4" t="s">
        <v>1112</v>
      </c>
      <c r="U92" s="62"/>
      <c r="V92" s="63"/>
      <c r="W92" s="75">
        <f t="shared" si="9"/>
        <v>2244</v>
      </c>
      <c r="X92" s="65"/>
      <c r="Y92" s="66">
        <f t="shared" si="6"/>
        <v>4.9305555555555547E-2</v>
      </c>
      <c r="Z92" s="76" t="str">
        <f t="shared" si="11"/>
        <v/>
      </c>
      <c r="AA92" s="77" t="str">
        <f t="shared" si="10"/>
        <v>Pause zu früh</v>
      </c>
      <c r="AE92" s="72" t="str">
        <f t="shared" si="8"/>
        <v/>
      </c>
    </row>
    <row r="93" spans="1:31" ht="13.05" customHeight="1">
      <c r="A93" s="8"/>
      <c r="B93" s="4" t="s">
        <v>105</v>
      </c>
      <c r="C93" s="4" t="s">
        <v>106</v>
      </c>
      <c r="D93" s="4" t="s">
        <v>109</v>
      </c>
      <c r="E93" s="4" t="s">
        <v>36</v>
      </c>
      <c r="F93" s="4" t="s">
        <v>36</v>
      </c>
      <c r="G93" s="4"/>
      <c r="H93" s="4" t="s">
        <v>205</v>
      </c>
      <c r="I93" s="4" t="s">
        <v>36</v>
      </c>
      <c r="J93" s="4"/>
      <c r="K93" s="4" t="s">
        <v>104</v>
      </c>
      <c r="L93" s="4" t="s">
        <v>177</v>
      </c>
      <c r="M93" s="4"/>
      <c r="N93" s="4" t="s">
        <v>285</v>
      </c>
      <c r="O93" s="9" t="s">
        <v>286</v>
      </c>
      <c r="P93" s="52"/>
      <c r="R93" s="69">
        <f t="shared" si="7"/>
        <v>0</v>
      </c>
      <c r="U93" s="62"/>
      <c r="V93" s="63"/>
      <c r="W93" s="75">
        <f t="shared" si="9"/>
        <v>0</v>
      </c>
      <c r="X93" s="65"/>
      <c r="Y93" s="66">
        <f t="shared" si="6"/>
        <v>8.333333333333337E-2</v>
      </c>
      <c r="Z93" s="76" t="str">
        <f t="shared" si="11"/>
        <v/>
      </c>
      <c r="AA93" s="77" t="str">
        <f t="shared" si="10"/>
        <v/>
      </c>
      <c r="AE93" s="72" t="str">
        <f t="shared" si="8"/>
        <v/>
      </c>
    </row>
    <row r="94" spans="1:31" ht="13.05" customHeight="1">
      <c r="A94" s="8"/>
      <c r="B94" s="4" t="s">
        <v>33</v>
      </c>
      <c r="C94" s="4" t="s">
        <v>112</v>
      </c>
      <c r="D94" s="4" t="s">
        <v>114</v>
      </c>
      <c r="E94" s="4" t="s">
        <v>38</v>
      </c>
      <c r="F94" s="4" t="s">
        <v>38</v>
      </c>
      <c r="G94" s="4"/>
      <c r="H94" s="4" t="s">
        <v>287</v>
      </c>
      <c r="I94" s="4" t="s">
        <v>36</v>
      </c>
      <c r="J94" s="4"/>
      <c r="K94" s="4" t="s">
        <v>104</v>
      </c>
      <c r="L94" s="4" t="s">
        <v>172</v>
      </c>
      <c r="M94" s="4" t="s">
        <v>288</v>
      </c>
      <c r="N94" s="4" t="s">
        <v>289</v>
      </c>
      <c r="O94" s="9" t="s">
        <v>290</v>
      </c>
      <c r="P94" s="52"/>
      <c r="R94" s="69">
        <f t="shared" si="7"/>
        <v>0</v>
      </c>
      <c r="T94" s="2"/>
      <c r="U94" s="62"/>
      <c r="V94" s="63"/>
      <c r="W94" s="75">
        <f t="shared" si="9"/>
        <v>0</v>
      </c>
      <c r="X94" s="65"/>
      <c r="Y94" s="66">
        <f t="shared" si="6"/>
        <v>0.10069444444444442</v>
      </c>
      <c r="Z94" s="76" t="str">
        <f t="shared" si="11"/>
        <v/>
      </c>
      <c r="AA94" s="77" t="str">
        <f t="shared" si="10"/>
        <v>Pause zu früh</v>
      </c>
      <c r="AE94" s="72" t="str">
        <f t="shared" si="8"/>
        <v/>
      </c>
    </row>
    <row r="95" spans="1:31" ht="13.05" customHeight="1">
      <c r="A95" s="10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9" t="s">
        <v>291</v>
      </c>
      <c r="P95" s="52"/>
      <c r="R95" s="69">
        <f t="shared" si="7"/>
        <v>0</v>
      </c>
      <c r="T95" s="2"/>
      <c r="U95" s="62"/>
      <c r="V95" s="63"/>
      <c r="W95" s="75">
        <f t="shared" si="9"/>
        <v>0</v>
      </c>
      <c r="X95" s="65"/>
      <c r="Y95" s="66">
        <f t="shared" si="6"/>
        <v>0</v>
      </c>
      <c r="Z95" s="76" t="str">
        <f t="shared" si="11"/>
        <v/>
      </c>
      <c r="AA95" s="77" t="str">
        <f t="shared" si="10"/>
        <v/>
      </c>
      <c r="AE95" s="72" t="str">
        <f t="shared" si="8"/>
        <v/>
      </c>
    </row>
    <row r="96" spans="1:31" ht="13.05" customHeight="1">
      <c r="A96" s="8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9"/>
      <c r="P96" s="52"/>
      <c r="R96" s="69">
        <f t="shared" si="7"/>
        <v>0</v>
      </c>
      <c r="T96" s="2"/>
      <c r="U96" s="62"/>
      <c r="V96" s="63"/>
      <c r="W96" s="75">
        <f t="shared" si="9"/>
        <v>0</v>
      </c>
      <c r="X96" s="65"/>
      <c r="Y96" s="66">
        <f t="shared" si="6"/>
        <v>0</v>
      </c>
      <c r="Z96" s="76" t="str">
        <f t="shared" si="11"/>
        <v/>
      </c>
      <c r="AA96" s="77" t="str">
        <f t="shared" si="10"/>
        <v/>
      </c>
      <c r="AE96" s="72" t="str">
        <f t="shared" si="8"/>
        <v/>
      </c>
    </row>
    <row r="97" spans="1:31" ht="13.05" customHeight="1">
      <c r="A97" s="8" t="s">
        <v>172</v>
      </c>
      <c r="B97" s="4" t="s">
        <v>53</v>
      </c>
      <c r="C97" s="4" t="s">
        <v>292</v>
      </c>
      <c r="D97" s="4" t="s">
        <v>293</v>
      </c>
      <c r="E97" s="4" t="s">
        <v>26</v>
      </c>
      <c r="F97" s="4" t="s">
        <v>36</v>
      </c>
      <c r="G97" s="4"/>
      <c r="H97" s="4" t="s">
        <v>294</v>
      </c>
      <c r="I97" s="4" t="s">
        <v>26</v>
      </c>
      <c r="J97" s="4"/>
      <c r="K97" s="4"/>
      <c r="L97" s="4"/>
      <c r="M97" s="4" t="s">
        <v>295</v>
      </c>
      <c r="N97" s="4"/>
      <c r="O97" s="9"/>
      <c r="P97" s="52"/>
      <c r="R97" s="69" t="str">
        <f t="shared" si="7"/>
        <v>2245</v>
      </c>
      <c r="S97" s="4" t="s">
        <v>1112</v>
      </c>
      <c r="T97" s="2"/>
      <c r="U97" s="62"/>
      <c r="V97" s="63"/>
      <c r="W97" s="75">
        <f t="shared" si="9"/>
        <v>2245</v>
      </c>
      <c r="X97" s="65"/>
      <c r="Y97" s="66">
        <f t="shared" si="6"/>
        <v>4.7916666666666663E-2</v>
      </c>
      <c r="Z97" s="76" t="str">
        <f t="shared" si="11"/>
        <v/>
      </c>
      <c r="AA97" s="77" t="str">
        <f t="shared" si="10"/>
        <v>Pause zu früh</v>
      </c>
      <c r="AE97" s="72" t="str">
        <f t="shared" si="8"/>
        <v/>
      </c>
    </row>
    <row r="98" spans="1:31" ht="13.05" customHeight="1">
      <c r="A98" s="8"/>
      <c r="B98" s="4" t="s">
        <v>33</v>
      </c>
      <c r="C98" s="4" t="s">
        <v>169</v>
      </c>
      <c r="D98" s="4" t="s">
        <v>171</v>
      </c>
      <c r="E98" s="4" t="s">
        <v>36</v>
      </c>
      <c r="F98" s="4" t="s">
        <v>36</v>
      </c>
      <c r="G98" s="4"/>
      <c r="H98" s="4" t="s">
        <v>221</v>
      </c>
      <c r="I98" s="4" t="s">
        <v>36</v>
      </c>
      <c r="J98" s="4"/>
      <c r="K98" s="4" t="s">
        <v>168</v>
      </c>
      <c r="L98" s="4" t="s">
        <v>201</v>
      </c>
      <c r="M98" s="4"/>
      <c r="N98" s="4" t="s">
        <v>296</v>
      </c>
      <c r="O98" s="9" t="s">
        <v>297</v>
      </c>
      <c r="P98" s="52"/>
      <c r="R98" s="69">
        <f t="shared" si="7"/>
        <v>0</v>
      </c>
      <c r="T98" s="2"/>
      <c r="U98" s="62"/>
      <c r="V98" s="63"/>
      <c r="W98" s="75">
        <f t="shared" si="9"/>
        <v>0</v>
      </c>
      <c r="X98" s="65"/>
      <c r="Y98" s="66">
        <f t="shared" si="6"/>
        <v>8.4027777777777812E-2</v>
      </c>
      <c r="Z98" s="76" t="str">
        <f t="shared" si="11"/>
        <v/>
      </c>
      <c r="AA98" s="77" t="str">
        <f t="shared" si="10"/>
        <v/>
      </c>
      <c r="AE98" s="72" t="str">
        <f t="shared" si="8"/>
        <v/>
      </c>
    </row>
    <row r="99" spans="1:31" ht="13.05" customHeight="1">
      <c r="A99" s="8"/>
      <c r="B99" s="4" t="s">
        <v>33</v>
      </c>
      <c r="C99" s="4" t="s">
        <v>112</v>
      </c>
      <c r="D99" s="4" t="s">
        <v>287</v>
      </c>
      <c r="E99" s="4" t="s">
        <v>36</v>
      </c>
      <c r="F99" s="4" t="s">
        <v>36</v>
      </c>
      <c r="G99" s="4"/>
      <c r="H99" s="4" t="s">
        <v>298</v>
      </c>
      <c r="I99" s="4" t="s">
        <v>36</v>
      </c>
      <c r="J99" s="4"/>
      <c r="K99" s="4" t="s">
        <v>110</v>
      </c>
      <c r="L99" s="4" t="s">
        <v>147</v>
      </c>
      <c r="M99" s="4" t="s">
        <v>299</v>
      </c>
      <c r="N99" s="4" t="s">
        <v>300</v>
      </c>
      <c r="O99" s="9" t="s">
        <v>301</v>
      </c>
      <c r="P99" s="52"/>
      <c r="R99" s="69">
        <f t="shared" si="7"/>
        <v>0</v>
      </c>
      <c r="T99" s="2"/>
      <c r="U99" s="62"/>
      <c r="V99" s="63"/>
      <c r="W99" s="75">
        <f t="shared" si="9"/>
        <v>0</v>
      </c>
      <c r="X99" s="65"/>
      <c r="Y99" s="66">
        <f t="shared" si="6"/>
        <v>8.2638888888888928E-2</v>
      </c>
      <c r="Z99" s="76" t="str">
        <f t="shared" si="11"/>
        <v/>
      </c>
      <c r="AA99" s="77" t="str">
        <f t="shared" si="10"/>
        <v>Pause zu früh</v>
      </c>
      <c r="AE99" s="72" t="str">
        <f t="shared" si="8"/>
        <v/>
      </c>
    </row>
    <row r="100" spans="1:31" ht="13.05" customHeight="1">
      <c r="A100" s="10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9" t="s">
        <v>295</v>
      </c>
      <c r="P100" s="52"/>
      <c r="R100" s="69">
        <f t="shared" si="7"/>
        <v>0</v>
      </c>
      <c r="T100" s="2"/>
      <c r="U100" s="62"/>
      <c r="V100" s="63"/>
      <c r="W100" s="75">
        <f t="shared" si="9"/>
        <v>0</v>
      </c>
      <c r="X100" s="65"/>
      <c r="Y100" s="66">
        <f t="shared" si="6"/>
        <v>0</v>
      </c>
      <c r="Z100" s="76" t="str">
        <f t="shared" si="11"/>
        <v/>
      </c>
      <c r="AA100" s="77" t="str">
        <f t="shared" si="10"/>
        <v/>
      </c>
      <c r="AE100" s="72" t="str">
        <f t="shared" si="8"/>
        <v/>
      </c>
    </row>
    <row r="101" spans="1:31" ht="13.05" customHeight="1">
      <c r="A101" s="8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9"/>
      <c r="P101" s="52"/>
      <c r="R101" s="69">
        <f t="shared" si="7"/>
        <v>0</v>
      </c>
      <c r="T101" s="2"/>
      <c r="U101" s="62"/>
      <c r="V101" s="63"/>
      <c r="W101" s="75">
        <f t="shared" si="9"/>
        <v>0</v>
      </c>
      <c r="X101" s="65"/>
      <c r="Y101" s="66">
        <f t="shared" si="6"/>
        <v>0</v>
      </c>
      <c r="Z101" s="76" t="str">
        <f t="shared" si="11"/>
        <v/>
      </c>
      <c r="AA101" s="77" t="str">
        <f t="shared" si="10"/>
        <v/>
      </c>
      <c r="AE101" s="72" t="str">
        <f t="shared" si="8"/>
        <v/>
      </c>
    </row>
    <row r="102" spans="1:31" ht="13.05" customHeight="1">
      <c r="A102" s="8" t="s">
        <v>85</v>
      </c>
      <c r="B102" s="4" t="s">
        <v>81</v>
      </c>
      <c r="C102" s="4" t="s">
        <v>82</v>
      </c>
      <c r="D102" s="4" t="s">
        <v>84</v>
      </c>
      <c r="E102" s="4" t="s">
        <v>44</v>
      </c>
      <c r="F102" s="4" t="s">
        <v>241</v>
      </c>
      <c r="G102" s="4"/>
      <c r="H102" s="4" t="s">
        <v>229</v>
      </c>
      <c r="I102" s="4" t="s">
        <v>47</v>
      </c>
      <c r="J102" s="4"/>
      <c r="K102" s="4" t="s">
        <v>80</v>
      </c>
      <c r="L102" s="4" t="s">
        <v>39</v>
      </c>
      <c r="M102" s="4" t="s">
        <v>302</v>
      </c>
      <c r="N102" s="4" t="s">
        <v>91</v>
      </c>
      <c r="O102" s="9" t="s">
        <v>303</v>
      </c>
      <c r="P102" s="52"/>
      <c r="R102" s="69" t="str">
        <f t="shared" si="7"/>
        <v>2248</v>
      </c>
      <c r="S102" s="4" t="s">
        <v>1112</v>
      </c>
      <c r="T102" s="2"/>
      <c r="U102" s="62"/>
      <c r="V102" s="63"/>
      <c r="W102" s="75">
        <f t="shared" si="9"/>
        <v>2248</v>
      </c>
      <c r="X102" s="65"/>
      <c r="Y102" s="66">
        <f t="shared" si="6"/>
        <v>0.14930555555555552</v>
      </c>
      <c r="Z102" s="76" t="str">
        <f t="shared" si="11"/>
        <v/>
      </c>
      <c r="AA102" s="77" t="str">
        <f t="shared" si="10"/>
        <v>Alles OK</v>
      </c>
      <c r="AE102" s="72" t="str">
        <f t="shared" si="8"/>
        <v/>
      </c>
    </row>
    <row r="103" spans="1:31" ht="13.05" customHeight="1">
      <c r="A103" s="8"/>
      <c r="B103" s="4" t="s">
        <v>81</v>
      </c>
      <c r="C103" s="4" t="s">
        <v>151</v>
      </c>
      <c r="D103" s="4" t="s">
        <v>304</v>
      </c>
      <c r="E103" s="4" t="s">
        <v>47</v>
      </c>
      <c r="F103" s="4" t="s">
        <v>153</v>
      </c>
      <c r="G103" s="4"/>
      <c r="H103" s="4" t="s">
        <v>305</v>
      </c>
      <c r="I103" s="4" t="s">
        <v>47</v>
      </c>
      <c r="J103" s="4"/>
      <c r="K103" s="4" t="s">
        <v>155</v>
      </c>
      <c r="L103" s="4" t="s">
        <v>253</v>
      </c>
      <c r="M103" s="4" t="s">
        <v>306</v>
      </c>
      <c r="N103" s="4" t="s">
        <v>307</v>
      </c>
      <c r="O103" s="9" t="s">
        <v>308</v>
      </c>
      <c r="P103" s="52"/>
      <c r="R103" s="69">
        <f t="shared" si="7"/>
        <v>0</v>
      </c>
      <c r="T103" s="2"/>
      <c r="U103" s="62"/>
      <c r="V103" s="63"/>
      <c r="W103" s="75">
        <f t="shared" si="9"/>
        <v>0</v>
      </c>
      <c r="X103" s="65"/>
      <c r="Y103" s="66">
        <f t="shared" si="6"/>
        <v>0.125</v>
      </c>
      <c r="Z103" s="76" t="str">
        <f t="shared" si="11"/>
        <v/>
      </c>
      <c r="AA103" s="77" t="str">
        <f t="shared" si="10"/>
        <v>Pause zu früh</v>
      </c>
      <c r="AE103" s="72" t="str">
        <f t="shared" si="8"/>
        <v/>
      </c>
    </row>
    <row r="104" spans="1:31" ht="13.05" customHeight="1">
      <c r="A104" s="10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9" t="s">
        <v>309</v>
      </c>
      <c r="P104" s="52"/>
      <c r="R104" s="69">
        <f t="shared" si="7"/>
        <v>0</v>
      </c>
      <c r="T104" s="2"/>
      <c r="U104" s="62"/>
      <c r="V104" s="63"/>
      <c r="W104" s="75">
        <f t="shared" si="9"/>
        <v>0</v>
      </c>
      <c r="X104" s="65"/>
      <c r="Y104" s="66">
        <f t="shared" si="6"/>
        <v>0</v>
      </c>
      <c r="Z104" s="76" t="str">
        <f t="shared" si="11"/>
        <v/>
      </c>
      <c r="AA104" s="77" t="str">
        <f t="shared" si="10"/>
        <v/>
      </c>
      <c r="AE104" s="72" t="str">
        <f t="shared" si="8"/>
        <v/>
      </c>
    </row>
    <row r="105" spans="1:31" ht="13.05" customHeight="1">
      <c r="A105" s="8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9"/>
      <c r="P105" s="52"/>
      <c r="R105" s="69">
        <f t="shared" si="7"/>
        <v>0</v>
      </c>
      <c r="T105" s="2"/>
      <c r="U105" s="62"/>
      <c r="V105" s="63"/>
      <c r="W105" s="75">
        <f t="shared" si="9"/>
        <v>0</v>
      </c>
      <c r="X105" s="65"/>
      <c r="Y105" s="66">
        <f t="shared" si="6"/>
        <v>0</v>
      </c>
      <c r="Z105" s="76" t="str">
        <f t="shared" si="11"/>
        <v/>
      </c>
      <c r="AA105" s="77" t="str">
        <f t="shared" si="10"/>
        <v/>
      </c>
      <c r="AE105" s="72" t="str">
        <f t="shared" si="8"/>
        <v/>
      </c>
    </row>
    <row r="106" spans="1:31" ht="13.05" customHeight="1">
      <c r="A106" s="8" t="s">
        <v>57</v>
      </c>
      <c r="B106" s="4" t="s">
        <v>81</v>
      </c>
      <c r="C106" s="4" t="s">
        <v>54</v>
      </c>
      <c r="D106" s="4" t="s">
        <v>56</v>
      </c>
      <c r="E106" s="4" t="s">
        <v>47</v>
      </c>
      <c r="F106" s="4" t="s">
        <v>153</v>
      </c>
      <c r="G106" s="4"/>
      <c r="H106" s="4" t="s">
        <v>99</v>
      </c>
      <c r="I106" s="4" t="s">
        <v>47</v>
      </c>
      <c r="J106" s="4"/>
      <c r="K106" s="4" t="s">
        <v>52</v>
      </c>
      <c r="L106" s="4" t="s">
        <v>310</v>
      </c>
      <c r="M106" s="4" t="s">
        <v>84</v>
      </c>
      <c r="N106" s="4" t="s">
        <v>102</v>
      </c>
      <c r="O106" s="9" t="s">
        <v>311</v>
      </c>
      <c r="P106" s="52"/>
      <c r="R106" s="69" t="str">
        <f t="shared" si="7"/>
        <v>2249</v>
      </c>
      <c r="S106" s="4" t="s">
        <v>1100</v>
      </c>
      <c r="T106" s="2"/>
      <c r="U106" s="62"/>
      <c r="V106" s="63"/>
      <c r="W106" s="75">
        <f t="shared" si="9"/>
        <v>2249</v>
      </c>
      <c r="X106" s="65"/>
      <c r="Y106" s="66">
        <f t="shared" si="6"/>
        <v>0.20138888888888895</v>
      </c>
      <c r="Z106" s="76">
        <f t="shared" si="11"/>
        <v>1.3888888888888951E-2</v>
      </c>
      <c r="AA106" s="77" t="str">
        <f t="shared" si="10"/>
        <v>Pause zu spät</v>
      </c>
      <c r="AE106" s="72" t="str">
        <f t="shared" si="8"/>
        <v/>
      </c>
    </row>
    <row r="107" spans="1:31" ht="13.05" customHeight="1">
      <c r="A107" s="8"/>
      <c r="B107" s="4" t="s">
        <v>312</v>
      </c>
      <c r="C107" s="4" t="s">
        <v>313</v>
      </c>
      <c r="D107" s="4" t="s">
        <v>314</v>
      </c>
      <c r="E107" s="4" t="s">
        <v>26</v>
      </c>
      <c r="F107" s="4" t="s">
        <v>315</v>
      </c>
      <c r="G107" s="4"/>
      <c r="H107" s="4" t="s">
        <v>316</v>
      </c>
      <c r="I107" s="4" t="s">
        <v>26</v>
      </c>
      <c r="J107" s="4"/>
      <c r="K107" s="4"/>
      <c r="L107" s="4"/>
      <c r="M107" s="4" t="s">
        <v>317</v>
      </c>
      <c r="N107" s="4" t="s">
        <v>318</v>
      </c>
      <c r="O107" s="9" t="s">
        <v>319</v>
      </c>
      <c r="P107" s="52"/>
      <c r="R107" s="69">
        <f t="shared" si="7"/>
        <v>0</v>
      </c>
      <c r="T107" s="2"/>
      <c r="U107" s="62"/>
      <c r="V107" s="63"/>
      <c r="W107" s="75">
        <f t="shared" si="9"/>
        <v>0</v>
      </c>
      <c r="X107" s="65"/>
      <c r="Y107" s="66">
        <f t="shared" si="6"/>
        <v>9.6527777777777768E-2</v>
      </c>
      <c r="Z107" s="76" t="str">
        <f t="shared" si="11"/>
        <v/>
      </c>
      <c r="AA107" s="77" t="str">
        <f t="shared" si="10"/>
        <v>Pause zu früh</v>
      </c>
      <c r="AE107" s="72" t="str">
        <f t="shared" si="8"/>
        <v/>
      </c>
    </row>
    <row r="108" spans="1:31" ht="13.05" customHeight="1">
      <c r="A108" s="10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9" t="s">
        <v>294</v>
      </c>
      <c r="P108" s="52"/>
      <c r="R108" s="69">
        <f t="shared" si="7"/>
        <v>0</v>
      </c>
      <c r="T108" s="2"/>
      <c r="U108" s="62"/>
      <c r="V108" s="63"/>
      <c r="W108" s="75">
        <f t="shared" si="9"/>
        <v>0</v>
      </c>
      <c r="X108" s="65"/>
      <c r="Y108" s="66">
        <f t="shared" si="6"/>
        <v>0</v>
      </c>
      <c r="Z108" s="76" t="str">
        <f t="shared" si="11"/>
        <v/>
      </c>
      <c r="AA108" s="77" t="str">
        <f t="shared" si="10"/>
        <v/>
      </c>
      <c r="AE108" s="72" t="str">
        <f t="shared" si="8"/>
        <v/>
      </c>
    </row>
    <row r="109" spans="1:31" ht="13.05" customHeight="1">
      <c r="A109" s="8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9"/>
      <c r="P109" s="52"/>
      <c r="R109" s="69">
        <f t="shared" si="7"/>
        <v>0</v>
      </c>
      <c r="T109" s="2"/>
      <c r="U109" s="62"/>
      <c r="V109" s="63"/>
      <c r="W109" s="75">
        <f t="shared" si="9"/>
        <v>0</v>
      </c>
      <c r="X109" s="65"/>
      <c r="Y109" s="66">
        <f t="shared" si="6"/>
        <v>0</v>
      </c>
      <c r="Z109" s="76" t="str">
        <f t="shared" si="11"/>
        <v/>
      </c>
      <c r="AA109" s="77" t="str">
        <f t="shared" si="10"/>
        <v/>
      </c>
      <c r="AE109" s="72" t="str">
        <f t="shared" si="8"/>
        <v/>
      </c>
    </row>
    <row r="110" spans="1:31" ht="13.05" customHeight="1">
      <c r="A110" s="8" t="s">
        <v>71</v>
      </c>
      <c r="B110" s="4" t="s">
        <v>33</v>
      </c>
      <c r="C110" s="4" t="s">
        <v>67</v>
      </c>
      <c r="D110" s="4" t="s">
        <v>70</v>
      </c>
      <c r="E110" s="4" t="s">
        <v>36</v>
      </c>
      <c r="F110" s="4" t="s">
        <v>36</v>
      </c>
      <c r="G110" s="4"/>
      <c r="H110" s="4" t="s">
        <v>191</v>
      </c>
      <c r="I110" s="4" t="s">
        <v>36</v>
      </c>
      <c r="J110" s="4"/>
      <c r="K110" s="4" t="s">
        <v>66</v>
      </c>
      <c r="L110" s="4" t="s">
        <v>115</v>
      </c>
      <c r="M110" s="4" t="s">
        <v>320</v>
      </c>
      <c r="N110" s="4" t="s">
        <v>321</v>
      </c>
      <c r="O110" s="9" t="s">
        <v>280</v>
      </c>
      <c r="P110" s="52"/>
      <c r="R110" s="69" t="str">
        <f t="shared" si="7"/>
        <v>2250</v>
      </c>
      <c r="S110" s="4" t="s">
        <v>1112</v>
      </c>
      <c r="T110" s="2"/>
      <c r="U110" s="62"/>
      <c r="V110" s="63"/>
      <c r="W110" s="75">
        <f t="shared" si="9"/>
        <v>2250</v>
      </c>
      <c r="X110" s="65"/>
      <c r="Y110" s="66">
        <f t="shared" si="6"/>
        <v>8.3333333333333315E-2</v>
      </c>
      <c r="Z110" s="76" t="str">
        <f t="shared" si="11"/>
        <v/>
      </c>
      <c r="AA110" s="77" t="str">
        <f t="shared" si="10"/>
        <v>Pause zu früh</v>
      </c>
      <c r="AE110" s="72" t="str">
        <f t="shared" si="8"/>
        <v/>
      </c>
    </row>
    <row r="111" spans="1:31" ht="13.05" customHeight="1">
      <c r="A111" s="8"/>
      <c r="B111" s="4" t="s">
        <v>81</v>
      </c>
      <c r="C111" s="4" t="s">
        <v>82</v>
      </c>
      <c r="D111" s="4" t="s">
        <v>230</v>
      </c>
      <c r="E111" s="4" t="s">
        <v>47</v>
      </c>
      <c r="F111" s="4" t="s">
        <v>153</v>
      </c>
      <c r="G111" s="4"/>
      <c r="H111" s="4" t="s">
        <v>322</v>
      </c>
      <c r="I111" s="4" t="s">
        <v>44</v>
      </c>
      <c r="J111" s="4"/>
      <c r="K111" s="4" t="s">
        <v>39</v>
      </c>
      <c r="L111" s="4" t="s">
        <v>310</v>
      </c>
      <c r="M111" s="4" t="s">
        <v>136</v>
      </c>
      <c r="N111" s="4"/>
      <c r="O111" s="9"/>
      <c r="P111" s="52"/>
      <c r="R111" s="69">
        <f t="shared" si="7"/>
        <v>0</v>
      </c>
      <c r="T111" s="2"/>
      <c r="U111" s="62"/>
      <c r="V111" s="63"/>
      <c r="W111" s="75">
        <f t="shared" si="9"/>
        <v>0</v>
      </c>
      <c r="X111" s="65"/>
      <c r="Y111" s="66">
        <f t="shared" si="6"/>
        <v>0.14236111111111116</v>
      </c>
      <c r="Z111" s="76" t="str">
        <f t="shared" si="11"/>
        <v/>
      </c>
      <c r="AA111" s="77" t="str">
        <f t="shared" si="10"/>
        <v>Alles OK</v>
      </c>
      <c r="AE111" s="72" t="str">
        <f t="shared" si="8"/>
        <v/>
      </c>
    </row>
    <row r="112" spans="1:31" ht="13.05" customHeight="1">
      <c r="A112" s="8"/>
      <c r="B112" s="4" t="s">
        <v>87</v>
      </c>
      <c r="C112" s="4" t="s">
        <v>130</v>
      </c>
      <c r="D112" s="4" t="s">
        <v>323</v>
      </c>
      <c r="E112" s="4" t="s">
        <v>47</v>
      </c>
      <c r="F112" s="4" t="s">
        <v>132</v>
      </c>
      <c r="G112" s="4"/>
      <c r="H112" s="4" t="s">
        <v>324</v>
      </c>
      <c r="I112" s="4" t="s">
        <v>47</v>
      </c>
      <c r="J112" s="4"/>
      <c r="K112" s="4" t="s">
        <v>135</v>
      </c>
      <c r="L112" s="4" t="s">
        <v>216</v>
      </c>
      <c r="M112" s="4"/>
      <c r="N112" s="4" t="s">
        <v>325</v>
      </c>
      <c r="O112" s="9" t="s">
        <v>326</v>
      </c>
      <c r="P112" s="52"/>
      <c r="R112" s="69">
        <f t="shared" si="7"/>
        <v>0</v>
      </c>
      <c r="T112" s="2"/>
      <c r="U112" s="62"/>
      <c r="V112" s="63"/>
      <c r="W112" s="75">
        <f t="shared" si="9"/>
        <v>0</v>
      </c>
      <c r="X112" s="65"/>
      <c r="Y112" s="66">
        <f t="shared" si="6"/>
        <v>8.3333333333333259E-2</v>
      </c>
      <c r="Z112" s="76" t="str">
        <f t="shared" si="11"/>
        <v/>
      </c>
      <c r="AA112" s="77" t="str">
        <f t="shared" si="10"/>
        <v/>
      </c>
      <c r="AE112" s="72" t="str">
        <f t="shared" si="8"/>
        <v/>
      </c>
    </row>
    <row r="113" spans="1:31" ht="13.05" customHeight="1">
      <c r="A113" s="10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9" t="s">
        <v>327</v>
      </c>
      <c r="P113" s="52"/>
      <c r="R113" s="69">
        <f t="shared" si="7"/>
        <v>0</v>
      </c>
      <c r="T113" s="2"/>
      <c r="U113" s="62"/>
      <c r="V113" s="63"/>
      <c r="W113" s="75">
        <f t="shared" si="9"/>
        <v>0</v>
      </c>
      <c r="X113" s="65"/>
      <c r="Y113" s="66">
        <f t="shared" si="6"/>
        <v>0</v>
      </c>
      <c r="Z113" s="76" t="str">
        <f t="shared" si="11"/>
        <v/>
      </c>
      <c r="AA113" s="77" t="str">
        <f t="shared" si="10"/>
        <v/>
      </c>
      <c r="AE113" s="72" t="str">
        <f t="shared" si="8"/>
        <v/>
      </c>
    </row>
    <row r="114" spans="1:31" ht="13.05" customHeight="1">
      <c r="A114" s="8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9"/>
      <c r="P114" s="52"/>
      <c r="R114" s="69">
        <f t="shared" si="7"/>
        <v>0</v>
      </c>
      <c r="T114" s="2"/>
      <c r="U114" s="62"/>
      <c r="V114" s="63"/>
      <c r="W114" s="75">
        <f t="shared" si="9"/>
        <v>0</v>
      </c>
      <c r="X114" s="65"/>
      <c r="Y114" s="66">
        <f t="shared" si="6"/>
        <v>0</v>
      </c>
      <c r="Z114" s="76" t="str">
        <f t="shared" si="11"/>
        <v/>
      </c>
      <c r="AA114" s="77" t="str">
        <f t="shared" si="10"/>
        <v/>
      </c>
      <c r="AE114" s="72" t="str">
        <f t="shared" si="8"/>
        <v/>
      </c>
    </row>
    <row r="115" spans="1:31" ht="13.05" customHeight="1">
      <c r="A115" s="8" t="s">
        <v>328</v>
      </c>
      <c r="B115" s="51" t="s">
        <v>329</v>
      </c>
      <c r="C115" s="4"/>
      <c r="D115" s="4" t="s">
        <v>330</v>
      </c>
      <c r="E115" s="4" t="s">
        <v>26</v>
      </c>
      <c r="F115" s="4"/>
      <c r="G115" s="4"/>
      <c r="H115" s="4" t="s">
        <v>187</v>
      </c>
      <c r="I115" s="4" t="s">
        <v>26</v>
      </c>
      <c r="J115" s="4"/>
      <c r="K115" s="4"/>
      <c r="L115" s="4"/>
      <c r="M115" s="4" t="s">
        <v>330</v>
      </c>
      <c r="N115" s="4" t="s">
        <v>187</v>
      </c>
      <c r="O115" s="9" t="s">
        <v>331</v>
      </c>
      <c r="P115" s="52"/>
      <c r="R115" s="69" t="str">
        <f t="shared" si="7"/>
        <v>2256</v>
      </c>
      <c r="S115" s="4" t="s">
        <v>1112</v>
      </c>
      <c r="T115" s="2"/>
      <c r="U115" s="62"/>
      <c r="V115" s="63"/>
      <c r="W115" s="75">
        <f t="shared" si="9"/>
        <v>2256</v>
      </c>
      <c r="X115" s="65"/>
      <c r="Y115" s="66">
        <f t="shared" si="6"/>
        <v>0.16666666666666669</v>
      </c>
      <c r="Z115" s="76" t="str">
        <f t="shared" si="11"/>
        <v/>
      </c>
      <c r="AA115" s="77" t="str">
        <f t="shared" si="10"/>
        <v>Alles OK</v>
      </c>
      <c r="AE115" s="72" t="str">
        <f t="shared" si="8"/>
        <v/>
      </c>
    </row>
    <row r="116" spans="1:31" ht="13.05" customHeight="1">
      <c r="A116" s="8"/>
      <c r="B116" s="4" t="s">
        <v>33</v>
      </c>
      <c r="C116" s="4" t="s">
        <v>259</v>
      </c>
      <c r="D116" s="4" t="s">
        <v>332</v>
      </c>
      <c r="E116" s="4" t="s">
        <v>26</v>
      </c>
      <c r="F116" s="4" t="s">
        <v>36</v>
      </c>
      <c r="G116" s="4"/>
      <c r="H116" s="4" t="s">
        <v>333</v>
      </c>
      <c r="I116" s="4" t="s">
        <v>38</v>
      </c>
      <c r="J116" s="4"/>
      <c r="K116" s="4"/>
      <c r="L116" s="4" t="s">
        <v>238</v>
      </c>
      <c r="M116" s="4" t="s">
        <v>275</v>
      </c>
      <c r="N116" s="4" t="s">
        <v>334</v>
      </c>
      <c r="O116" s="9" t="s">
        <v>335</v>
      </c>
      <c r="P116" s="52"/>
      <c r="R116" s="69">
        <f t="shared" si="7"/>
        <v>0</v>
      </c>
      <c r="T116" s="2"/>
      <c r="U116" s="62"/>
      <c r="V116" s="63"/>
      <c r="W116" s="75">
        <f t="shared" si="9"/>
        <v>0</v>
      </c>
      <c r="X116" s="65"/>
      <c r="Y116" s="66">
        <f t="shared" si="6"/>
        <v>0.11944444444444446</v>
      </c>
      <c r="Z116" s="76" t="str">
        <f t="shared" si="11"/>
        <v/>
      </c>
      <c r="AA116" s="77" t="str">
        <f t="shared" si="10"/>
        <v>Pause zu früh</v>
      </c>
      <c r="AE116" s="72" t="str">
        <f t="shared" si="8"/>
        <v/>
      </c>
    </row>
    <row r="117" spans="1:31" ht="13.05" customHeight="1">
      <c r="A117" s="10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9" t="s">
        <v>336</v>
      </c>
      <c r="P117" s="52"/>
      <c r="R117" s="69">
        <f t="shared" si="7"/>
        <v>0</v>
      </c>
      <c r="T117" s="2"/>
      <c r="U117" s="62"/>
      <c r="V117" s="63"/>
      <c r="W117" s="75">
        <f t="shared" si="9"/>
        <v>0</v>
      </c>
      <c r="X117" s="65"/>
      <c r="Y117" s="66">
        <f t="shared" si="6"/>
        <v>0</v>
      </c>
      <c r="Z117" s="76" t="str">
        <f t="shared" si="11"/>
        <v/>
      </c>
      <c r="AA117" s="77" t="str">
        <f t="shared" si="10"/>
        <v/>
      </c>
      <c r="AE117" s="72" t="str">
        <f t="shared" si="8"/>
        <v/>
      </c>
    </row>
    <row r="118" spans="1:31" ht="13.05" customHeight="1">
      <c r="A118" s="8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9"/>
      <c r="P118" s="52"/>
      <c r="R118" s="69">
        <f t="shared" si="7"/>
        <v>0</v>
      </c>
      <c r="T118" s="2"/>
      <c r="U118" s="62"/>
      <c r="V118" s="63"/>
      <c r="W118" s="75">
        <f t="shared" si="9"/>
        <v>0</v>
      </c>
      <c r="X118" s="65"/>
      <c r="Y118" s="66">
        <f t="shared" si="6"/>
        <v>0</v>
      </c>
      <c r="Z118" s="76" t="str">
        <f t="shared" si="11"/>
        <v/>
      </c>
      <c r="AA118" s="77" t="str">
        <f t="shared" si="10"/>
        <v/>
      </c>
      <c r="AE118" s="72" t="str">
        <f t="shared" si="8"/>
        <v/>
      </c>
    </row>
    <row r="119" spans="1:31" ht="13.05" customHeight="1">
      <c r="A119" s="8" t="s">
        <v>337</v>
      </c>
      <c r="B119" s="51" t="s">
        <v>329</v>
      </c>
      <c r="C119" s="4"/>
      <c r="D119" s="4" t="s">
        <v>330</v>
      </c>
      <c r="E119" s="4" t="s">
        <v>26</v>
      </c>
      <c r="F119" s="4"/>
      <c r="G119" s="4"/>
      <c r="H119" s="4" t="s">
        <v>187</v>
      </c>
      <c r="I119" s="4" t="s">
        <v>26</v>
      </c>
      <c r="J119" s="4"/>
      <c r="K119" s="4"/>
      <c r="L119" s="4"/>
      <c r="M119" s="4" t="s">
        <v>330</v>
      </c>
      <c r="N119" s="4" t="s">
        <v>187</v>
      </c>
      <c r="O119" s="9" t="s">
        <v>331</v>
      </c>
      <c r="P119" s="52"/>
      <c r="R119" s="69" t="str">
        <f t="shared" si="7"/>
        <v>2257</v>
      </c>
      <c r="S119" s="4" t="s">
        <v>1112</v>
      </c>
      <c r="T119" s="2"/>
      <c r="U119" s="62"/>
      <c r="V119" s="63"/>
      <c r="W119" s="75">
        <f t="shared" si="9"/>
        <v>2257</v>
      </c>
      <c r="X119" s="65"/>
      <c r="Y119" s="66">
        <f t="shared" si="6"/>
        <v>0.16666666666666669</v>
      </c>
      <c r="Z119" s="76" t="str">
        <f t="shared" si="11"/>
        <v/>
      </c>
      <c r="AA119" s="77" t="str">
        <f t="shared" si="10"/>
        <v>Alles OK</v>
      </c>
      <c r="AE119" s="72" t="str">
        <f t="shared" si="8"/>
        <v/>
      </c>
    </row>
    <row r="120" spans="1:31" ht="13.05" customHeight="1">
      <c r="A120" s="8"/>
      <c r="B120" s="4" t="s">
        <v>41</v>
      </c>
      <c r="C120" s="4" t="s">
        <v>121</v>
      </c>
      <c r="D120" s="4" t="s">
        <v>338</v>
      </c>
      <c r="E120" s="4" t="s">
        <v>47</v>
      </c>
      <c r="F120" s="4" t="s">
        <v>119</v>
      </c>
      <c r="G120" s="4"/>
      <c r="H120" s="4" t="s">
        <v>339</v>
      </c>
      <c r="I120" s="4" t="s">
        <v>44</v>
      </c>
      <c r="J120" s="4"/>
      <c r="K120" s="4" t="s">
        <v>125</v>
      </c>
      <c r="L120" s="4" t="s">
        <v>178</v>
      </c>
      <c r="M120" s="4" t="s">
        <v>340</v>
      </c>
      <c r="N120" s="4" t="s">
        <v>341</v>
      </c>
      <c r="O120" s="9" t="s">
        <v>342</v>
      </c>
      <c r="P120" s="52"/>
      <c r="R120" s="69">
        <f t="shared" si="7"/>
        <v>0</v>
      </c>
      <c r="T120" s="2"/>
      <c r="U120" s="62"/>
      <c r="V120" s="63"/>
      <c r="W120" s="75">
        <f t="shared" si="9"/>
        <v>0</v>
      </c>
      <c r="X120" s="65"/>
      <c r="Y120" s="66">
        <f t="shared" si="6"/>
        <v>0.10763888888888884</v>
      </c>
      <c r="Z120" s="76" t="str">
        <f t="shared" si="11"/>
        <v/>
      </c>
      <c r="AA120" s="77" t="str">
        <f t="shared" si="10"/>
        <v>Pause zu früh</v>
      </c>
      <c r="AE120" s="72" t="str">
        <f t="shared" si="8"/>
        <v/>
      </c>
    </row>
    <row r="121" spans="1:31" ht="13.05" customHeight="1">
      <c r="A121" s="10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9" t="s">
        <v>343</v>
      </c>
      <c r="P121" s="52"/>
      <c r="R121" s="69">
        <f t="shared" si="7"/>
        <v>0</v>
      </c>
      <c r="T121" s="2"/>
      <c r="U121" s="62"/>
      <c r="V121" s="63"/>
      <c r="W121" s="75">
        <f t="shared" si="9"/>
        <v>0</v>
      </c>
      <c r="X121" s="65"/>
      <c r="Y121" s="66">
        <f t="shared" si="6"/>
        <v>0</v>
      </c>
      <c r="Z121" s="76" t="str">
        <f t="shared" si="11"/>
        <v/>
      </c>
      <c r="AA121" s="77" t="str">
        <f t="shared" si="10"/>
        <v/>
      </c>
      <c r="AE121" s="72" t="str">
        <f t="shared" si="8"/>
        <v/>
      </c>
    </row>
    <row r="122" spans="1:31" ht="13.05" customHeight="1">
      <c r="A122" s="8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9"/>
      <c r="P122" s="52"/>
      <c r="R122" s="69">
        <f t="shared" si="7"/>
        <v>0</v>
      </c>
      <c r="T122" s="2"/>
      <c r="U122" s="62"/>
      <c r="V122" s="63"/>
      <c r="W122" s="75">
        <f t="shared" si="9"/>
        <v>0</v>
      </c>
      <c r="X122" s="65"/>
      <c r="Y122" s="66">
        <f t="shared" si="6"/>
        <v>0</v>
      </c>
      <c r="Z122" s="76" t="str">
        <f t="shared" si="11"/>
        <v/>
      </c>
      <c r="AA122" s="77" t="str">
        <f t="shared" si="10"/>
        <v/>
      </c>
      <c r="AE122" s="72" t="str">
        <f t="shared" si="8"/>
        <v/>
      </c>
    </row>
    <row r="123" spans="1:31" ht="13.05" customHeight="1">
      <c r="A123" s="8" t="s">
        <v>344</v>
      </c>
      <c r="B123" s="4" t="s">
        <v>33</v>
      </c>
      <c r="C123" s="4" t="s">
        <v>345</v>
      </c>
      <c r="D123" s="4" t="s">
        <v>240</v>
      </c>
      <c r="E123" s="4" t="s">
        <v>26</v>
      </c>
      <c r="F123" s="4" t="s">
        <v>38</v>
      </c>
      <c r="G123" s="4"/>
      <c r="H123" s="4" t="s">
        <v>346</v>
      </c>
      <c r="I123" s="4" t="s">
        <v>26</v>
      </c>
      <c r="J123" s="4"/>
      <c r="K123" s="4"/>
      <c r="L123" s="4"/>
      <c r="M123" s="4" t="s">
        <v>242</v>
      </c>
      <c r="N123" s="4" t="s">
        <v>347</v>
      </c>
      <c r="O123" s="9" t="s">
        <v>348</v>
      </c>
      <c r="P123" s="52"/>
      <c r="R123" s="69" t="str">
        <f t="shared" si="7"/>
        <v>2258</v>
      </c>
      <c r="S123" s="4" t="s">
        <v>1112</v>
      </c>
      <c r="T123" s="2"/>
      <c r="U123" s="62"/>
      <c r="V123" s="63"/>
      <c r="W123" s="75">
        <f t="shared" si="9"/>
        <v>2258</v>
      </c>
      <c r="X123" s="65"/>
      <c r="Y123" s="66">
        <f t="shared" si="6"/>
        <v>0.16666666666666669</v>
      </c>
      <c r="Z123" s="76" t="str">
        <f t="shared" si="11"/>
        <v/>
      </c>
      <c r="AA123" s="77" t="str">
        <f t="shared" si="10"/>
        <v>Alles OK</v>
      </c>
      <c r="AE123" s="72" t="str">
        <f t="shared" si="8"/>
        <v/>
      </c>
    </row>
    <row r="124" spans="1:31" ht="13.05" customHeight="1">
      <c r="A124" s="8"/>
      <c r="B124" s="51" t="s">
        <v>329</v>
      </c>
      <c r="C124" s="4"/>
      <c r="D124" s="4" t="s">
        <v>349</v>
      </c>
      <c r="E124" s="4" t="s">
        <v>26</v>
      </c>
      <c r="F124" s="4"/>
      <c r="G124" s="4"/>
      <c r="H124" s="4" t="s">
        <v>350</v>
      </c>
      <c r="I124" s="4" t="s">
        <v>26</v>
      </c>
      <c r="J124" s="4"/>
      <c r="K124" s="4"/>
      <c r="L124" s="4"/>
      <c r="M124" s="4" t="s">
        <v>349</v>
      </c>
      <c r="N124" s="4" t="s">
        <v>350</v>
      </c>
      <c r="O124" s="9" t="s">
        <v>331</v>
      </c>
      <c r="P124" s="52"/>
      <c r="R124" s="69">
        <f t="shared" si="7"/>
        <v>0</v>
      </c>
      <c r="T124" s="2"/>
      <c r="U124" s="62"/>
      <c r="V124" s="63"/>
      <c r="W124" s="75">
        <f t="shared" si="9"/>
        <v>0</v>
      </c>
      <c r="X124" s="65"/>
      <c r="Y124" s="66">
        <f t="shared" si="6"/>
        <v>0.16666666666666663</v>
      </c>
      <c r="Z124" s="76" t="str">
        <f t="shared" si="11"/>
        <v/>
      </c>
      <c r="AA124" s="77" t="str">
        <f t="shared" si="10"/>
        <v>Alles OK</v>
      </c>
      <c r="AE124" s="72" t="str">
        <f t="shared" si="8"/>
        <v/>
      </c>
    </row>
    <row r="125" spans="1:31" ht="13.05" customHeight="1">
      <c r="A125" s="10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9" t="s">
        <v>195</v>
      </c>
      <c r="P125" s="52"/>
      <c r="R125" s="69">
        <f t="shared" si="7"/>
        <v>0</v>
      </c>
      <c r="T125" s="2"/>
      <c r="U125" s="62"/>
      <c r="V125" s="63"/>
      <c r="W125" s="75">
        <f t="shared" si="9"/>
        <v>0</v>
      </c>
      <c r="X125" s="65"/>
      <c r="Y125" s="66">
        <f t="shared" si="6"/>
        <v>0</v>
      </c>
      <c r="Z125" s="76" t="str">
        <f t="shared" si="11"/>
        <v/>
      </c>
      <c r="AA125" s="77" t="str">
        <f t="shared" si="10"/>
        <v/>
      </c>
      <c r="AE125" s="72" t="str">
        <f t="shared" si="8"/>
        <v/>
      </c>
    </row>
    <row r="126" spans="1:31" ht="12.6" customHeight="1">
      <c r="A126" s="8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9"/>
      <c r="P126" s="52"/>
      <c r="R126" s="69">
        <f t="shared" si="7"/>
        <v>0</v>
      </c>
      <c r="T126" s="2"/>
      <c r="U126" s="62"/>
      <c r="V126" s="63"/>
      <c r="W126" s="75">
        <f t="shared" si="9"/>
        <v>0</v>
      </c>
      <c r="X126" s="65"/>
      <c r="Y126" s="66">
        <f t="shared" si="6"/>
        <v>0</v>
      </c>
      <c r="Z126" s="76" t="str">
        <f t="shared" si="11"/>
        <v/>
      </c>
      <c r="AA126" s="77" t="str">
        <f t="shared" si="10"/>
        <v/>
      </c>
      <c r="AE126" s="72" t="str">
        <f t="shared" si="8"/>
        <v/>
      </c>
    </row>
    <row r="127" spans="1:31" ht="12.6" customHeight="1">
      <c r="A127" s="8" t="s">
        <v>351</v>
      </c>
      <c r="B127" s="4" t="s">
        <v>233</v>
      </c>
      <c r="C127" s="4" t="s">
        <v>264</v>
      </c>
      <c r="D127" s="4" t="s">
        <v>352</v>
      </c>
      <c r="E127" s="4" t="s">
        <v>26</v>
      </c>
      <c r="F127" s="4" t="s">
        <v>260</v>
      </c>
      <c r="G127" s="4"/>
      <c r="H127" s="4" t="s">
        <v>353</v>
      </c>
      <c r="I127" s="4" t="s">
        <v>26</v>
      </c>
      <c r="J127" s="4"/>
      <c r="K127" s="4"/>
      <c r="L127" s="4"/>
      <c r="M127" s="4" t="s">
        <v>235</v>
      </c>
      <c r="N127" s="4" t="s">
        <v>354</v>
      </c>
      <c r="O127" s="9" t="s">
        <v>355</v>
      </c>
      <c r="P127" s="52"/>
      <c r="R127" s="69" t="str">
        <f t="shared" si="7"/>
        <v>2259</v>
      </c>
      <c r="S127" s="4" t="s">
        <v>1112</v>
      </c>
      <c r="T127" s="2"/>
      <c r="U127" s="62"/>
      <c r="V127" s="63"/>
      <c r="W127" s="75">
        <f t="shared" si="9"/>
        <v>2259</v>
      </c>
      <c r="X127" s="65"/>
      <c r="Y127" s="66">
        <f t="shared" si="6"/>
        <v>0.16250000000000003</v>
      </c>
      <c r="Z127" s="76" t="str">
        <f t="shared" si="11"/>
        <v/>
      </c>
      <c r="AA127" s="77" t="str">
        <f t="shared" si="10"/>
        <v>Alles OK</v>
      </c>
      <c r="AE127" s="72" t="str">
        <f t="shared" si="8"/>
        <v/>
      </c>
    </row>
    <row r="128" spans="1:31" ht="13.05" customHeight="1">
      <c r="A128" s="8"/>
      <c r="B128" s="51" t="s">
        <v>329</v>
      </c>
      <c r="C128" s="4"/>
      <c r="D128" s="4" t="s">
        <v>349</v>
      </c>
      <c r="E128" s="4" t="s">
        <v>26</v>
      </c>
      <c r="F128" s="4"/>
      <c r="G128" s="4"/>
      <c r="H128" s="4" t="s">
        <v>350</v>
      </c>
      <c r="I128" s="4" t="s">
        <v>26</v>
      </c>
      <c r="J128" s="4"/>
      <c r="K128" s="4"/>
      <c r="L128" s="4"/>
      <c r="M128" s="4" t="s">
        <v>349</v>
      </c>
      <c r="N128" s="4" t="s">
        <v>350</v>
      </c>
      <c r="O128" s="9" t="s">
        <v>331</v>
      </c>
      <c r="P128" s="52"/>
      <c r="R128" s="69">
        <f t="shared" si="7"/>
        <v>0</v>
      </c>
      <c r="T128" s="2"/>
      <c r="U128" s="62"/>
      <c r="V128" s="63"/>
      <c r="W128" s="75">
        <f t="shared" si="9"/>
        <v>0</v>
      </c>
      <c r="X128" s="65"/>
      <c r="Y128" s="66">
        <f t="shared" si="6"/>
        <v>0.16666666666666663</v>
      </c>
      <c r="Z128" s="76" t="str">
        <f t="shared" si="11"/>
        <v/>
      </c>
      <c r="AA128" s="77" t="str">
        <f t="shared" si="10"/>
        <v>Alles OK</v>
      </c>
      <c r="AE128" s="72" t="str">
        <f t="shared" si="8"/>
        <v/>
      </c>
    </row>
    <row r="129" spans="1:31" ht="13.05" customHeight="1">
      <c r="A129" s="10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9" t="s">
        <v>356</v>
      </c>
      <c r="P129" s="52"/>
      <c r="R129" s="69">
        <f t="shared" si="7"/>
        <v>0</v>
      </c>
      <c r="T129" s="2"/>
      <c r="U129" s="62"/>
      <c r="V129" s="63"/>
      <c r="W129" s="75">
        <f t="shared" si="9"/>
        <v>0</v>
      </c>
      <c r="X129" s="65"/>
      <c r="Y129" s="66">
        <f t="shared" si="6"/>
        <v>0</v>
      </c>
      <c r="Z129" s="76" t="str">
        <f t="shared" si="11"/>
        <v/>
      </c>
      <c r="AA129" s="77" t="str">
        <f t="shared" si="10"/>
        <v/>
      </c>
      <c r="AE129" s="72" t="str">
        <f t="shared" si="8"/>
        <v/>
      </c>
    </row>
    <row r="130" spans="1:31" ht="13.05" customHeight="1">
      <c r="A130" s="8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9"/>
      <c r="P130" s="52"/>
      <c r="R130" s="69">
        <f t="shared" si="7"/>
        <v>0</v>
      </c>
      <c r="T130" s="2"/>
      <c r="U130" s="62"/>
      <c r="V130" s="63"/>
      <c r="W130" s="75">
        <f t="shared" si="9"/>
        <v>0</v>
      </c>
      <c r="X130" s="65"/>
      <c r="Y130" s="66">
        <f t="shared" ref="Y130:Y193" si="12">H130-D130+(H130&lt;D130)</f>
        <v>0</v>
      </c>
      <c r="Z130" s="76" t="str">
        <f t="shared" si="11"/>
        <v/>
      </c>
      <c r="AA130" s="77" t="str">
        <f t="shared" si="10"/>
        <v/>
      </c>
      <c r="AE130" s="72" t="str">
        <f t="shared" si="8"/>
        <v/>
      </c>
    </row>
    <row r="131" spans="1:31" ht="13.05" customHeight="1">
      <c r="A131" s="8" t="s">
        <v>125</v>
      </c>
      <c r="B131" s="4" t="s">
        <v>41</v>
      </c>
      <c r="C131" s="4" t="s">
        <v>121</v>
      </c>
      <c r="D131" s="4" t="s">
        <v>123</v>
      </c>
      <c r="E131" s="4" t="s">
        <v>47</v>
      </c>
      <c r="F131" s="4" t="s">
        <v>119</v>
      </c>
      <c r="G131" s="4"/>
      <c r="H131" s="4" t="s">
        <v>338</v>
      </c>
      <c r="I131" s="4" t="s">
        <v>47</v>
      </c>
      <c r="J131" s="4"/>
      <c r="K131" s="4" t="s">
        <v>48</v>
      </c>
      <c r="L131" s="4" t="s">
        <v>337</v>
      </c>
      <c r="M131" s="4" t="s">
        <v>357</v>
      </c>
      <c r="N131" s="4"/>
      <c r="O131" s="9"/>
      <c r="P131" s="52"/>
      <c r="R131" s="69" t="str">
        <f t="shared" si="7"/>
        <v>2271</v>
      </c>
      <c r="S131" s="4" t="s">
        <v>1112</v>
      </c>
      <c r="T131" s="2"/>
      <c r="U131" s="62"/>
      <c r="V131" s="63"/>
      <c r="W131" s="75">
        <f t="shared" si="9"/>
        <v>2271</v>
      </c>
      <c r="X131" s="65"/>
      <c r="Y131" s="66">
        <f t="shared" si="12"/>
        <v>0.16666666666666674</v>
      </c>
      <c r="Z131" s="76" t="str">
        <f t="shared" si="11"/>
        <v/>
      </c>
      <c r="AA131" s="77" t="str">
        <f t="shared" si="10"/>
        <v>Alles OK</v>
      </c>
      <c r="AE131" s="72" t="str">
        <f t="shared" si="8"/>
        <v/>
      </c>
    </row>
    <row r="132" spans="1:31" ht="13.05" customHeight="1">
      <c r="A132" s="8"/>
      <c r="B132" s="4" t="s">
        <v>33</v>
      </c>
      <c r="C132" s="4" t="s">
        <v>345</v>
      </c>
      <c r="D132" s="4" t="s">
        <v>358</v>
      </c>
      <c r="E132" s="4" t="s">
        <v>38</v>
      </c>
      <c r="F132" s="4" t="s">
        <v>38</v>
      </c>
      <c r="G132" s="4"/>
      <c r="H132" s="4" t="s">
        <v>359</v>
      </c>
      <c r="I132" s="4" t="s">
        <v>26</v>
      </c>
      <c r="J132" s="4"/>
      <c r="K132" s="4" t="s">
        <v>207</v>
      </c>
      <c r="L132" s="4"/>
      <c r="M132" s="4"/>
      <c r="N132" s="4" t="s">
        <v>360</v>
      </c>
      <c r="O132" s="9" t="s">
        <v>361</v>
      </c>
      <c r="P132" s="52"/>
      <c r="R132" s="69">
        <f t="shared" ref="R132:R195" si="13">A132</f>
        <v>0</v>
      </c>
      <c r="T132" s="2"/>
      <c r="U132" s="62"/>
      <c r="V132" s="63"/>
      <c r="W132" s="75">
        <f t="shared" si="9"/>
        <v>0</v>
      </c>
      <c r="X132" s="65"/>
      <c r="Y132" s="66">
        <f t="shared" si="12"/>
        <v>9.0972222222222232E-2</v>
      </c>
      <c r="Z132" s="76" t="str">
        <f t="shared" si="11"/>
        <v/>
      </c>
      <c r="AA132" s="77" t="str">
        <f t="shared" si="10"/>
        <v/>
      </c>
      <c r="AE132" s="72" t="str">
        <f t="shared" ref="AE132:AE195" si="14">IF(O132&gt;="08:31",O132,"")</f>
        <v/>
      </c>
    </row>
    <row r="133" spans="1:31" ht="13.05" customHeight="1">
      <c r="A133" s="8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9"/>
      <c r="P133" s="52"/>
      <c r="R133" s="69">
        <f t="shared" si="13"/>
        <v>0</v>
      </c>
      <c r="T133" s="2"/>
      <c r="U133" s="62"/>
      <c r="V133" s="63"/>
      <c r="W133" s="75">
        <f t="shared" si="9"/>
        <v>0</v>
      </c>
      <c r="X133" s="65"/>
      <c r="Y133" s="66">
        <f t="shared" si="12"/>
        <v>0</v>
      </c>
      <c r="Z133" s="76" t="str">
        <f t="shared" si="11"/>
        <v/>
      </c>
      <c r="AA133" s="77" t="str">
        <f t="shared" si="10"/>
        <v/>
      </c>
      <c r="AE133" s="72" t="str">
        <f t="shared" si="14"/>
        <v/>
      </c>
    </row>
    <row r="134" spans="1:31" ht="12.6" customHeight="1">
      <c r="A134" s="8" t="s">
        <v>186</v>
      </c>
      <c r="B134" s="4" t="s">
        <v>138</v>
      </c>
      <c r="C134" s="4" t="s">
        <v>34</v>
      </c>
      <c r="D134" s="4" t="s">
        <v>185</v>
      </c>
      <c r="E134" s="4" t="s">
        <v>38</v>
      </c>
      <c r="F134" s="4" t="s">
        <v>38</v>
      </c>
      <c r="G134" s="4"/>
      <c r="H134" s="4" t="s">
        <v>362</v>
      </c>
      <c r="I134" s="4" t="s">
        <v>36</v>
      </c>
      <c r="J134" s="4"/>
      <c r="K134" s="4" t="s">
        <v>100</v>
      </c>
      <c r="L134" s="4" t="s">
        <v>363</v>
      </c>
      <c r="M134" s="4" t="s">
        <v>364</v>
      </c>
      <c r="N134" s="4"/>
      <c r="O134" s="9"/>
      <c r="P134" s="52"/>
      <c r="R134" s="69" t="str">
        <f t="shared" si="13"/>
        <v>2272</v>
      </c>
      <c r="S134" s="4" t="s">
        <v>1112</v>
      </c>
      <c r="T134" s="2"/>
      <c r="U134" s="62"/>
      <c r="V134" s="63"/>
      <c r="W134" s="75">
        <f t="shared" si="9"/>
        <v>2272</v>
      </c>
      <c r="X134" s="65"/>
      <c r="Y134" s="66">
        <f t="shared" si="12"/>
        <v>0.14583333333333337</v>
      </c>
      <c r="Z134" s="76" t="str">
        <f t="shared" si="11"/>
        <v/>
      </c>
      <c r="AA134" s="77" t="str">
        <f t="shared" si="10"/>
        <v>Alles OK</v>
      </c>
      <c r="AE134" s="72" t="str">
        <f t="shared" si="14"/>
        <v/>
      </c>
    </row>
    <row r="135" spans="1:31" ht="13.05" customHeight="1">
      <c r="A135" s="8"/>
      <c r="B135" s="4" t="s">
        <v>142</v>
      </c>
      <c r="C135" s="4" t="s">
        <v>143</v>
      </c>
      <c r="D135" s="4" t="s">
        <v>365</v>
      </c>
      <c r="E135" s="4" t="s">
        <v>69</v>
      </c>
      <c r="F135" s="4" t="s">
        <v>69</v>
      </c>
      <c r="G135" s="4"/>
      <c r="H135" s="4" t="s">
        <v>366</v>
      </c>
      <c r="I135" s="4" t="s">
        <v>26</v>
      </c>
      <c r="J135" s="4"/>
      <c r="K135" s="4" t="s">
        <v>147</v>
      </c>
      <c r="L135" s="4"/>
      <c r="M135" s="4"/>
      <c r="N135" s="4" t="s">
        <v>367</v>
      </c>
      <c r="O135" s="9" t="s">
        <v>368</v>
      </c>
      <c r="P135" s="52"/>
      <c r="R135" s="69">
        <f t="shared" si="13"/>
        <v>0</v>
      </c>
      <c r="T135" s="2"/>
      <c r="U135" s="62"/>
      <c r="V135" s="63"/>
      <c r="W135" s="75">
        <f t="shared" ref="W135:W198" si="15">A135-0</f>
        <v>0</v>
      </c>
      <c r="X135" s="65"/>
      <c r="Y135" s="66">
        <f t="shared" si="12"/>
        <v>0.17222222222222217</v>
      </c>
      <c r="Z135" s="76" t="str">
        <f t="shared" si="11"/>
        <v/>
      </c>
      <c r="AA135" s="77" t="str">
        <f t="shared" ref="AA135:AA198" si="16">IF(OR(M135="",H135=""),"",IF((TIMEVALUE(H135)-TIMEVALUE(M135))&lt;TIME(3,30,0),"Pause zu früh",IF((TIMEVALUE(H135)-TIMEVALUE(M135))&gt;TIME(4,30,0),"Pause zu spät","Alles OK")))</f>
        <v/>
      </c>
      <c r="AE135" s="72" t="str">
        <f t="shared" si="14"/>
        <v/>
      </c>
    </row>
    <row r="136" spans="1:31" ht="13.05" customHeight="1">
      <c r="A136" s="8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9"/>
      <c r="P136" s="52"/>
      <c r="R136" s="69">
        <f t="shared" si="13"/>
        <v>0</v>
      </c>
      <c r="T136" s="2"/>
      <c r="U136" s="62"/>
      <c r="V136" s="63"/>
      <c r="W136" s="75">
        <f t="shared" si="15"/>
        <v>0</v>
      </c>
      <c r="X136" s="65"/>
      <c r="Y136" s="66">
        <f t="shared" si="12"/>
        <v>0</v>
      </c>
      <c r="Z136" s="76" t="str">
        <f t="shared" ref="Z136:Z199" si="17">IF((Y136-$AB$14)&lt;0,"",(Y136-$AB$14))</f>
        <v/>
      </c>
      <c r="AA136" s="77" t="str">
        <f t="shared" si="16"/>
        <v/>
      </c>
      <c r="AE136" s="72" t="str">
        <f t="shared" si="14"/>
        <v/>
      </c>
    </row>
    <row r="137" spans="1:31" ht="13.05" customHeight="1">
      <c r="A137" s="8" t="s">
        <v>49</v>
      </c>
      <c r="B137" s="4" t="s">
        <v>41</v>
      </c>
      <c r="C137" s="4" t="s">
        <v>42</v>
      </c>
      <c r="D137" s="4" t="s">
        <v>46</v>
      </c>
      <c r="E137" s="4" t="s">
        <v>47</v>
      </c>
      <c r="F137" s="4" t="s">
        <v>119</v>
      </c>
      <c r="G137" s="4"/>
      <c r="H137" s="4" t="s">
        <v>317</v>
      </c>
      <c r="I137" s="4" t="s">
        <v>47</v>
      </c>
      <c r="J137" s="4"/>
      <c r="K137" s="4" t="s">
        <v>32</v>
      </c>
      <c r="L137" s="4" t="s">
        <v>369</v>
      </c>
      <c r="M137" s="4" t="s">
        <v>370</v>
      </c>
      <c r="N137" s="4"/>
      <c r="O137" s="9"/>
      <c r="P137" s="52"/>
      <c r="R137" s="69" t="str">
        <f t="shared" si="13"/>
        <v>2273</v>
      </c>
      <c r="S137" s="4" t="s">
        <v>1112</v>
      </c>
      <c r="T137" s="2"/>
      <c r="U137" s="62"/>
      <c r="V137" s="63"/>
      <c r="W137" s="75">
        <f t="shared" si="15"/>
        <v>2273</v>
      </c>
      <c r="X137" s="65"/>
      <c r="Y137" s="66">
        <f t="shared" si="12"/>
        <v>0.16666666666666663</v>
      </c>
      <c r="Z137" s="76" t="str">
        <f t="shared" si="17"/>
        <v/>
      </c>
      <c r="AA137" s="77" t="str">
        <f t="shared" si="16"/>
        <v>Alles OK</v>
      </c>
      <c r="AE137" s="72" t="str">
        <f t="shared" si="14"/>
        <v/>
      </c>
    </row>
    <row r="138" spans="1:31" ht="13.05" customHeight="1">
      <c r="A138" s="8"/>
      <c r="B138" s="4" t="s">
        <v>33</v>
      </c>
      <c r="C138" s="4" t="s">
        <v>264</v>
      </c>
      <c r="D138" s="4" t="s">
        <v>266</v>
      </c>
      <c r="E138" s="4" t="s">
        <v>38</v>
      </c>
      <c r="F138" s="4" t="s">
        <v>38</v>
      </c>
      <c r="G138" s="4"/>
      <c r="H138" s="4" t="s">
        <v>360</v>
      </c>
      <c r="I138" s="4" t="s">
        <v>26</v>
      </c>
      <c r="J138" s="4"/>
      <c r="K138" s="4" t="s">
        <v>258</v>
      </c>
      <c r="L138" s="4"/>
      <c r="M138" s="4"/>
      <c r="N138" s="4" t="s">
        <v>371</v>
      </c>
      <c r="O138" s="9" t="s">
        <v>372</v>
      </c>
      <c r="P138" s="52"/>
      <c r="R138" s="69">
        <f t="shared" si="13"/>
        <v>0</v>
      </c>
      <c r="T138" s="2"/>
      <c r="U138" s="62"/>
      <c r="V138" s="63"/>
      <c r="W138" s="75">
        <f t="shared" si="15"/>
        <v>0</v>
      </c>
      <c r="X138" s="65"/>
      <c r="Y138" s="66">
        <f t="shared" si="12"/>
        <v>9.0972222222222232E-2</v>
      </c>
      <c r="Z138" s="76" t="str">
        <f t="shared" si="17"/>
        <v/>
      </c>
      <c r="AA138" s="77" t="str">
        <f t="shared" si="16"/>
        <v/>
      </c>
      <c r="AE138" s="72" t="str">
        <f t="shared" si="14"/>
        <v/>
      </c>
    </row>
    <row r="139" spans="1:31" ht="13.05" customHeight="1">
      <c r="A139" s="8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9"/>
      <c r="P139" s="52"/>
      <c r="R139" s="69">
        <f t="shared" si="13"/>
        <v>0</v>
      </c>
      <c r="T139" s="2"/>
      <c r="U139" s="62"/>
      <c r="V139" s="63"/>
      <c r="W139" s="75">
        <f t="shared" si="15"/>
        <v>0</v>
      </c>
      <c r="X139" s="65"/>
      <c r="Y139" s="66">
        <f t="shared" si="12"/>
        <v>0</v>
      </c>
      <c r="Z139" s="76" t="str">
        <f t="shared" si="17"/>
        <v/>
      </c>
      <c r="AA139" s="77" t="str">
        <f t="shared" si="16"/>
        <v/>
      </c>
      <c r="AE139" s="72" t="str">
        <f t="shared" si="14"/>
        <v/>
      </c>
    </row>
    <row r="140" spans="1:31" ht="13.05" customHeight="1">
      <c r="A140" s="8" t="s">
        <v>155</v>
      </c>
      <c r="B140" s="4" t="s">
        <v>81</v>
      </c>
      <c r="C140" s="4" t="s">
        <v>151</v>
      </c>
      <c r="D140" s="4" t="s">
        <v>50</v>
      </c>
      <c r="E140" s="4" t="s">
        <v>44</v>
      </c>
      <c r="F140" s="4" t="s">
        <v>241</v>
      </c>
      <c r="G140" s="4"/>
      <c r="H140" s="4" t="s">
        <v>304</v>
      </c>
      <c r="I140" s="4" t="s">
        <v>47</v>
      </c>
      <c r="J140" s="4"/>
      <c r="K140" s="4" t="s">
        <v>134</v>
      </c>
      <c r="L140" s="4" t="s">
        <v>85</v>
      </c>
      <c r="M140" s="4" t="s">
        <v>46</v>
      </c>
      <c r="N140" s="4"/>
      <c r="O140" s="9"/>
      <c r="P140" s="52"/>
      <c r="R140" s="69" t="str">
        <f t="shared" si="13"/>
        <v>2274</v>
      </c>
      <c r="S140" s="4" t="s">
        <v>1112</v>
      </c>
      <c r="T140" s="2"/>
      <c r="U140" s="62"/>
      <c r="V140" s="63"/>
      <c r="W140" s="75">
        <f t="shared" si="15"/>
        <v>2274</v>
      </c>
      <c r="X140" s="65"/>
      <c r="Y140" s="66">
        <f t="shared" si="12"/>
        <v>0.14930555555555558</v>
      </c>
      <c r="Z140" s="76" t="str">
        <f t="shared" si="17"/>
        <v/>
      </c>
      <c r="AA140" s="77" t="str">
        <f t="shared" si="16"/>
        <v>Alles OK</v>
      </c>
      <c r="AE140" s="72" t="str">
        <f t="shared" si="14"/>
        <v/>
      </c>
    </row>
    <row r="141" spans="1:31" ht="13.05" customHeight="1">
      <c r="A141" s="8"/>
      <c r="B141" s="4" t="s">
        <v>41</v>
      </c>
      <c r="C141" s="4" t="s">
        <v>96</v>
      </c>
      <c r="D141" s="4" t="s">
        <v>373</v>
      </c>
      <c r="E141" s="4" t="s">
        <v>47</v>
      </c>
      <c r="F141" s="4" t="s">
        <v>119</v>
      </c>
      <c r="G141" s="4"/>
      <c r="H141" s="4" t="s">
        <v>374</v>
      </c>
      <c r="I141" s="4" t="s">
        <v>26</v>
      </c>
      <c r="J141" s="4"/>
      <c r="K141" s="4" t="s">
        <v>101</v>
      </c>
      <c r="L141" s="4"/>
      <c r="M141" s="4"/>
      <c r="N141" s="4" t="s">
        <v>375</v>
      </c>
      <c r="O141" s="9" t="s">
        <v>65</v>
      </c>
      <c r="P141" s="52"/>
      <c r="R141" s="69">
        <f t="shared" si="13"/>
        <v>0</v>
      </c>
      <c r="T141" s="2"/>
      <c r="U141" s="62"/>
      <c r="V141" s="63"/>
      <c r="W141" s="75">
        <f t="shared" si="15"/>
        <v>0</v>
      </c>
      <c r="X141" s="65"/>
      <c r="Y141" s="66">
        <f t="shared" si="12"/>
        <v>0.17986111111111114</v>
      </c>
      <c r="Z141" s="76" t="str">
        <f t="shared" si="17"/>
        <v/>
      </c>
      <c r="AA141" s="77" t="str">
        <f t="shared" si="16"/>
        <v/>
      </c>
      <c r="AE141" s="72" t="str">
        <f t="shared" si="14"/>
        <v/>
      </c>
    </row>
    <row r="142" spans="1:31" ht="13.05" customHeight="1">
      <c r="A142" s="8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9"/>
      <c r="P142" s="52"/>
      <c r="R142" s="69">
        <f t="shared" si="13"/>
        <v>0</v>
      </c>
      <c r="T142" s="2"/>
      <c r="U142" s="62"/>
      <c r="V142" s="63"/>
      <c r="W142" s="75">
        <f t="shared" si="15"/>
        <v>0</v>
      </c>
      <c r="X142" s="65"/>
      <c r="Y142" s="66">
        <f t="shared" si="12"/>
        <v>0</v>
      </c>
      <c r="Z142" s="76" t="str">
        <f t="shared" si="17"/>
        <v/>
      </c>
      <c r="AA142" s="77" t="str">
        <f t="shared" si="16"/>
        <v/>
      </c>
      <c r="AE142" s="72" t="str">
        <f t="shared" si="14"/>
        <v/>
      </c>
    </row>
    <row r="143" spans="1:31" ht="13.05" customHeight="1">
      <c r="A143" s="8" t="s">
        <v>147</v>
      </c>
      <c r="B143" s="4" t="s">
        <v>142</v>
      </c>
      <c r="C143" s="4" t="s">
        <v>143</v>
      </c>
      <c r="D143" s="4" t="s">
        <v>145</v>
      </c>
      <c r="E143" s="4" t="s">
        <v>69</v>
      </c>
      <c r="F143" s="4" t="s">
        <v>69</v>
      </c>
      <c r="G143" s="4"/>
      <c r="H143" s="4" t="s">
        <v>365</v>
      </c>
      <c r="I143" s="4" t="s">
        <v>69</v>
      </c>
      <c r="J143" s="4"/>
      <c r="K143" s="4" t="s">
        <v>76</v>
      </c>
      <c r="L143" s="4" t="s">
        <v>186</v>
      </c>
      <c r="M143" s="4" t="s">
        <v>156</v>
      </c>
      <c r="N143" s="4"/>
      <c r="O143" s="9"/>
      <c r="P143" s="52"/>
      <c r="R143" s="69" t="str">
        <f t="shared" si="13"/>
        <v>2275</v>
      </c>
      <c r="S143" s="4" t="s">
        <v>1112</v>
      </c>
      <c r="T143" s="2"/>
      <c r="U143" s="62"/>
      <c r="V143" s="63"/>
      <c r="W143" s="75">
        <f t="shared" si="15"/>
        <v>2275</v>
      </c>
      <c r="X143" s="65"/>
      <c r="Y143" s="66">
        <f t="shared" si="12"/>
        <v>0.16666666666666674</v>
      </c>
      <c r="Z143" s="76" t="str">
        <f t="shared" si="17"/>
        <v/>
      </c>
      <c r="AA143" s="77" t="str">
        <f t="shared" si="16"/>
        <v>Alles OK</v>
      </c>
      <c r="AE143" s="72" t="str">
        <f t="shared" si="14"/>
        <v/>
      </c>
    </row>
    <row r="144" spans="1:31" ht="13.05" customHeight="1">
      <c r="A144" s="8"/>
      <c r="B144" s="4" t="s">
        <v>33</v>
      </c>
      <c r="C144" s="4" t="s">
        <v>112</v>
      </c>
      <c r="D144" s="4" t="s">
        <v>298</v>
      </c>
      <c r="E144" s="4" t="s">
        <v>36</v>
      </c>
      <c r="F144" s="4" t="s">
        <v>36</v>
      </c>
      <c r="G144" s="4"/>
      <c r="H144" s="4" t="s">
        <v>376</v>
      </c>
      <c r="I144" s="4" t="s">
        <v>36</v>
      </c>
      <c r="J144" s="4"/>
      <c r="K144" s="4" t="s">
        <v>172</v>
      </c>
      <c r="L144" s="4" t="s">
        <v>277</v>
      </c>
      <c r="M144" s="4"/>
      <c r="N144" s="4" t="s">
        <v>377</v>
      </c>
      <c r="O144" s="9" t="s">
        <v>65</v>
      </c>
      <c r="P144" s="52"/>
      <c r="R144" s="69">
        <f t="shared" si="13"/>
        <v>0</v>
      </c>
      <c r="T144" s="2"/>
      <c r="U144" s="62"/>
      <c r="V144" s="63"/>
      <c r="W144" s="75">
        <f t="shared" si="15"/>
        <v>0</v>
      </c>
      <c r="X144" s="65"/>
      <c r="Y144" s="66">
        <f t="shared" si="12"/>
        <v>0.16805555555555551</v>
      </c>
      <c r="Z144" s="76" t="str">
        <f t="shared" si="17"/>
        <v/>
      </c>
      <c r="AA144" s="77" t="str">
        <f t="shared" si="16"/>
        <v/>
      </c>
      <c r="AE144" s="72" t="str">
        <f t="shared" si="14"/>
        <v/>
      </c>
    </row>
    <row r="145" spans="1:31" ht="13.05" customHeight="1">
      <c r="A145" s="5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7"/>
      <c r="P145" s="52"/>
      <c r="R145" s="69">
        <f t="shared" si="13"/>
        <v>0</v>
      </c>
      <c r="T145" s="2"/>
      <c r="U145" s="62"/>
      <c r="V145" s="63"/>
      <c r="W145" s="75">
        <f t="shared" si="15"/>
        <v>0</v>
      </c>
      <c r="X145" s="65"/>
      <c r="Y145" s="66">
        <f t="shared" si="12"/>
        <v>0</v>
      </c>
      <c r="Z145" s="76" t="str">
        <f t="shared" si="17"/>
        <v/>
      </c>
      <c r="AA145" s="77" t="str">
        <f t="shared" si="16"/>
        <v/>
      </c>
      <c r="AE145" s="72" t="str">
        <f t="shared" si="14"/>
        <v/>
      </c>
    </row>
    <row r="146" spans="1:31" ht="13.05" customHeight="1">
      <c r="A146" s="113" t="s">
        <v>11</v>
      </c>
      <c r="B146" s="114"/>
      <c r="C146" s="114"/>
      <c r="D146" s="115"/>
      <c r="E146" s="113" t="s">
        <v>1064</v>
      </c>
      <c r="F146" s="114"/>
      <c r="G146" s="114"/>
      <c r="H146" s="114"/>
      <c r="I146" s="114"/>
      <c r="J146" s="114"/>
      <c r="K146" s="114"/>
      <c r="L146" s="114"/>
      <c r="M146" s="115"/>
      <c r="N146" s="41" t="s">
        <v>19</v>
      </c>
      <c r="O146" s="42">
        <v>3</v>
      </c>
      <c r="P146" s="52"/>
      <c r="R146" s="69" t="str">
        <f t="shared" si="13"/>
        <v>MICROBUS - Dienstdatei</v>
      </c>
      <c r="T146" s="2"/>
      <c r="U146" s="62"/>
      <c r="V146" s="63"/>
      <c r="W146" s="75" t="e">
        <f t="shared" si="15"/>
        <v>#VALUE!</v>
      </c>
      <c r="X146" s="65"/>
      <c r="Y146" s="66">
        <f t="shared" si="12"/>
        <v>0</v>
      </c>
      <c r="Z146" s="76" t="str">
        <f t="shared" si="17"/>
        <v/>
      </c>
      <c r="AA146" s="77" t="str">
        <f t="shared" si="16"/>
        <v/>
      </c>
      <c r="AE146" s="72" t="str">
        <f t="shared" si="14"/>
        <v/>
      </c>
    </row>
    <row r="147" spans="1:31" ht="13.05" customHeight="1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52"/>
      <c r="R147" s="69">
        <f t="shared" si="13"/>
        <v>0</v>
      </c>
      <c r="T147" s="2"/>
      <c r="U147" s="62"/>
      <c r="V147" s="63"/>
      <c r="W147" s="75">
        <f t="shared" si="15"/>
        <v>0</v>
      </c>
      <c r="X147" s="65"/>
      <c r="Y147" s="66">
        <f t="shared" si="12"/>
        <v>0</v>
      </c>
      <c r="Z147" s="76" t="str">
        <f t="shared" si="17"/>
        <v/>
      </c>
      <c r="AA147" s="77" t="str">
        <f t="shared" si="16"/>
        <v/>
      </c>
      <c r="AE147" s="72" t="str">
        <f t="shared" si="14"/>
        <v/>
      </c>
    </row>
    <row r="148" spans="1:31" ht="13.05" customHeight="1">
      <c r="A148" s="122" t="s">
        <v>18</v>
      </c>
      <c r="B148" s="122"/>
      <c r="C148" s="122"/>
      <c r="D148" s="122"/>
      <c r="E148" s="113" t="s">
        <v>1067</v>
      </c>
      <c r="F148" s="114"/>
      <c r="G148" s="114"/>
      <c r="H148" s="114"/>
      <c r="I148" s="114"/>
      <c r="J148" s="114"/>
      <c r="K148" s="114"/>
      <c r="L148" s="115"/>
      <c r="M148" s="113" t="s">
        <v>22</v>
      </c>
      <c r="N148" s="123"/>
      <c r="O148" s="115"/>
      <c r="P148" s="52"/>
      <c r="R148" s="69" t="str">
        <f t="shared" si="13"/>
        <v>Jenaer Nahverkehrs-GmbH</v>
      </c>
      <c r="T148" s="2"/>
      <c r="U148" s="62"/>
      <c r="V148" s="63"/>
      <c r="W148" s="75" t="e">
        <f t="shared" si="15"/>
        <v>#VALUE!</v>
      </c>
      <c r="X148" s="65"/>
      <c r="Y148" s="66">
        <f t="shared" si="12"/>
        <v>0</v>
      </c>
      <c r="Z148" s="76" t="str">
        <f t="shared" si="17"/>
        <v/>
      </c>
      <c r="AA148" s="77" t="str">
        <f t="shared" si="16"/>
        <v/>
      </c>
      <c r="AE148" s="72" t="str">
        <f t="shared" si="14"/>
        <v/>
      </c>
    </row>
    <row r="149" spans="1:31" ht="13.05" customHeight="1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52"/>
      <c r="R149" s="69">
        <f t="shared" si="13"/>
        <v>0</v>
      </c>
      <c r="T149" s="2"/>
      <c r="U149" s="62"/>
      <c r="V149" s="63"/>
      <c r="W149" s="75">
        <f t="shared" si="15"/>
        <v>0</v>
      </c>
      <c r="X149" s="65"/>
      <c r="Y149" s="66">
        <f t="shared" si="12"/>
        <v>0</v>
      </c>
      <c r="Z149" s="76" t="str">
        <f t="shared" si="17"/>
        <v/>
      </c>
      <c r="AA149" s="77" t="str">
        <f t="shared" si="16"/>
        <v/>
      </c>
      <c r="AE149" s="72" t="str">
        <f t="shared" si="14"/>
        <v/>
      </c>
    </row>
    <row r="150" spans="1:31" ht="13.05" customHeight="1">
      <c r="A150" s="45" t="s">
        <v>0</v>
      </c>
      <c r="B150" s="46" t="s">
        <v>1</v>
      </c>
      <c r="C150" s="46" t="s">
        <v>3</v>
      </c>
      <c r="D150" s="46" t="s">
        <v>12</v>
      </c>
      <c r="E150" s="46" t="s">
        <v>14</v>
      </c>
      <c r="F150" s="46" t="s">
        <v>15</v>
      </c>
      <c r="G150" s="46"/>
      <c r="H150" s="46" t="s">
        <v>16</v>
      </c>
      <c r="I150" s="46" t="s">
        <v>14</v>
      </c>
      <c r="J150" s="46"/>
      <c r="K150" s="46" t="s">
        <v>4</v>
      </c>
      <c r="L150" s="46" t="s">
        <v>6</v>
      </c>
      <c r="M150" s="46" t="s">
        <v>0</v>
      </c>
      <c r="N150" s="46" t="s">
        <v>0</v>
      </c>
      <c r="O150" s="47" t="s">
        <v>21</v>
      </c>
      <c r="P150" s="52"/>
      <c r="R150" s="69" t="str">
        <f t="shared" si="13"/>
        <v>Dienst-</v>
      </c>
      <c r="T150" s="2"/>
      <c r="U150" s="62"/>
      <c r="V150" s="63"/>
      <c r="W150" s="75" t="e">
        <f t="shared" si="15"/>
        <v>#VALUE!</v>
      </c>
      <c r="X150" s="65"/>
      <c r="Y150" s="66" t="e">
        <f t="shared" si="12"/>
        <v>#VALUE!</v>
      </c>
      <c r="Z150" s="76" t="e">
        <f t="shared" si="17"/>
        <v>#VALUE!</v>
      </c>
      <c r="AA150" s="77" t="e">
        <f t="shared" si="16"/>
        <v>#VALUE!</v>
      </c>
      <c r="AE150" s="72" t="str">
        <f t="shared" si="14"/>
        <v>bez.</v>
      </c>
    </row>
    <row r="151" spans="1:31" ht="13.05" customHeight="1">
      <c r="A151" s="48" t="s">
        <v>2</v>
      </c>
      <c r="B151" s="49"/>
      <c r="C151" s="49"/>
      <c r="D151" s="49" t="s">
        <v>13</v>
      </c>
      <c r="E151" s="49"/>
      <c r="F151" s="49"/>
      <c r="G151" s="49"/>
      <c r="H151" s="49" t="s">
        <v>13</v>
      </c>
      <c r="I151" s="49"/>
      <c r="J151" s="49"/>
      <c r="K151" s="49" t="s">
        <v>5</v>
      </c>
      <c r="L151" s="49" t="s">
        <v>5</v>
      </c>
      <c r="M151" s="49" t="s">
        <v>7</v>
      </c>
      <c r="N151" s="49" t="s">
        <v>8</v>
      </c>
      <c r="O151" s="50" t="s">
        <v>17</v>
      </c>
      <c r="P151" s="52"/>
      <c r="R151" s="69" t="str">
        <f t="shared" si="13"/>
        <v>Nr.</v>
      </c>
      <c r="T151" s="2"/>
      <c r="U151" s="62"/>
      <c r="V151" s="63"/>
      <c r="W151" s="75" t="e">
        <f t="shared" si="15"/>
        <v>#VALUE!</v>
      </c>
      <c r="X151" s="65"/>
      <c r="Y151" s="66" t="e">
        <f t="shared" si="12"/>
        <v>#VALUE!</v>
      </c>
      <c r="Z151" s="76" t="e">
        <f t="shared" si="17"/>
        <v>#VALUE!</v>
      </c>
      <c r="AA151" s="77" t="e">
        <f t="shared" si="16"/>
        <v>#VALUE!</v>
      </c>
      <c r="AE151" s="72" t="str">
        <f t="shared" si="14"/>
        <v>Zeit</v>
      </c>
    </row>
    <row r="152" spans="1:31" ht="13.05" customHeight="1">
      <c r="A152" s="8" t="s">
        <v>310</v>
      </c>
      <c r="B152" s="4" t="s">
        <v>81</v>
      </c>
      <c r="C152" s="4" t="s">
        <v>54</v>
      </c>
      <c r="D152" s="4" t="s">
        <v>99</v>
      </c>
      <c r="E152" s="4" t="s">
        <v>47</v>
      </c>
      <c r="F152" s="4" t="s">
        <v>153</v>
      </c>
      <c r="G152" s="4"/>
      <c r="H152" s="4" t="s">
        <v>378</v>
      </c>
      <c r="I152" s="4" t="s">
        <v>44</v>
      </c>
      <c r="J152" s="4"/>
      <c r="K152" s="4" t="s">
        <v>57</v>
      </c>
      <c r="L152" s="4" t="s">
        <v>379</v>
      </c>
      <c r="M152" s="4" t="s">
        <v>145</v>
      </c>
      <c r="N152" s="4"/>
      <c r="O152" s="9"/>
      <c r="P152" s="52"/>
      <c r="R152" s="69" t="str">
        <f t="shared" si="13"/>
        <v>2276</v>
      </c>
      <c r="S152" s="4" t="s">
        <v>1112</v>
      </c>
      <c r="T152" s="2"/>
      <c r="U152" s="62"/>
      <c r="V152" s="63"/>
      <c r="W152" s="75">
        <f t="shared" si="15"/>
        <v>2276</v>
      </c>
      <c r="X152" s="65"/>
      <c r="Y152" s="66">
        <f t="shared" si="12"/>
        <v>0.14236111111111105</v>
      </c>
      <c r="Z152" s="76" t="str">
        <f t="shared" si="17"/>
        <v/>
      </c>
      <c r="AA152" s="77" t="str">
        <f t="shared" si="16"/>
        <v>Alles OK</v>
      </c>
      <c r="AE152" s="72" t="str">
        <f t="shared" si="14"/>
        <v/>
      </c>
    </row>
    <row r="153" spans="1:31" ht="13.05" customHeight="1">
      <c r="A153" s="8"/>
      <c r="B153" s="4" t="s">
        <v>81</v>
      </c>
      <c r="C153" s="4" t="s">
        <v>82</v>
      </c>
      <c r="D153" s="4" t="s">
        <v>322</v>
      </c>
      <c r="E153" s="4" t="s">
        <v>44</v>
      </c>
      <c r="F153" s="4" t="s">
        <v>241</v>
      </c>
      <c r="G153" s="4"/>
      <c r="H153" s="4" t="s">
        <v>380</v>
      </c>
      <c r="I153" s="4" t="s">
        <v>26</v>
      </c>
      <c r="J153" s="4"/>
      <c r="K153" s="4" t="s">
        <v>71</v>
      </c>
      <c r="L153" s="4"/>
      <c r="M153" s="4"/>
      <c r="N153" s="4" t="s">
        <v>381</v>
      </c>
      <c r="O153" s="9" t="s">
        <v>65</v>
      </c>
      <c r="P153" s="52"/>
      <c r="R153" s="69">
        <f t="shared" si="13"/>
        <v>0</v>
      </c>
      <c r="T153" s="2"/>
      <c r="U153" s="62"/>
      <c r="V153" s="63"/>
      <c r="W153" s="75">
        <f t="shared" si="15"/>
        <v>0</v>
      </c>
      <c r="X153" s="65"/>
      <c r="Y153" s="66">
        <f t="shared" si="12"/>
        <v>0.18680555555555556</v>
      </c>
      <c r="Z153" s="76" t="str">
        <f t="shared" si="17"/>
        <v/>
      </c>
      <c r="AA153" s="77" t="str">
        <f t="shared" si="16"/>
        <v/>
      </c>
      <c r="AE153" s="72" t="str">
        <f t="shared" si="14"/>
        <v/>
      </c>
    </row>
    <row r="154" spans="1:31" ht="13.05" customHeight="1">
      <c r="A154" s="8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9"/>
      <c r="P154" s="52"/>
      <c r="R154" s="69">
        <f t="shared" si="13"/>
        <v>0</v>
      </c>
      <c r="T154" s="2"/>
      <c r="U154" s="62"/>
      <c r="V154" s="63"/>
      <c r="W154" s="75">
        <f t="shared" si="15"/>
        <v>0</v>
      </c>
      <c r="X154" s="65"/>
      <c r="Y154" s="66">
        <f t="shared" si="12"/>
        <v>0</v>
      </c>
      <c r="Z154" s="76" t="str">
        <f t="shared" si="17"/>
        <v/>
      </c>
      <c r="AA154" s="77" t="str">
        <f t="shared" si="16"/>
        <v/>
      </c>
      <c r="AE154" s="72" t="str">
        <f t="shared" si="14"/>
        <v/>
      </c>
    </row>
    <row r="155" spans="1:31" ht="13.05" customHeight="1">
      <c r="A155" s="8" t="s">
        <v>101</v>
      </c>
      <c r="B155" s="4" t="s">
        <v>41</v>
      </c>
      <c r="C155" s="4" t="s">
        <v>96</v>
      </c>
      <c r="D155" s="4" t="s">
        <v>99</v>
      </c>
      <c r="E155" s="4" t="s">
        <v>47</v>
      </c>
      <c r="F155" s="4" t="s">
        <v>119</v>
      </c>
      <c r="G155" s="4"/>
      <c r="H155" s="4" t="s">
        <v>373</v>
      </c>
      <c r="I155" s="4" t="s">
        <v>47</v>
      </c>
      <c r="J155" s="4"/>
      <c r="K155" s="4" t="s">
        <v>62</v>
      </c>
      <c r="L155" s="4" t="s">
        <v>155</v>
      </c>
      <c r="M155" s="4" t="s">
        <v>145</v>
      </c>
      <c r="N155" s="4"/>
      <c r="O155" s="9"/>
      <c r="P155" s="52"/>
      <c r="R155" s="69" t="str">
        <f t="shared" si="13"/>
        <v>2277</v>
      </c>
      <c r="S155" s="4" t="s">
        <v>1112</v>
      </c>
      <c r="U155" s="62"/>
      <c r="V155" s="63"/>
      <c r="W155" s="75">
        <f t="shared" si="15"/>
        <v>2277</v>
      </c>
      <c r="X155" s="65"/>
      <c r="Y155" s="66">
        <f t="shared" si="12"/>
        <v>0.16666666666666663</v>
      </c>
      <c r="Z155" s="76" t="str">
        <f t="shared" si="17"/>
        <v/>
      </c>
      <c r="AA155" s="77" t="str">
        <f t="shared" si="16"/>
        <v>Alles OK</v>
      </c>
      <c r="AC155" s="2"/>
      <c r="AD155" s="2"/>
      <c r="AE155" s="72" t="str">
        <f t="shared" si="14"/>
        <v/>
      </c>
    </row>
    <row r="156" spans="1:31" ht="13.05" customHeight="1">
      <c r="A156" s="8"/>
      <c r="B156" s="4" t="s">
        <v>33</v>
      </c>
      <c r="C156" s="4" t="s">
        <v>174</v>
      </c>
      <c r="D156" s="4" t="s">
        <v>382</v>
      </c>
      <c r="E156" s="4" t="s">
        <v>38</v>
      </c>
      <c r="F156" s="4" t="s">
        <v>38</v>
      </c>
      <c r="G156" s="4"/>
      <c r="H156" s="4" t="s">
        <v>383</v>
      </c>
      <c r="I156" s="4" t="s">
        <v>26</v>
      </c>
      <c r="J156" s="4"/>
      <c r="K156" s="4" t="s">
        <v>178</v>
      </c>
      <c r="L156" s="4"/>
      <c r="M156" s="4"/>
      <c r="N156" s="4" t="s">
        <v>384</v>
      </c>
      <c r="O156" s="9" t="s">
        <v>385</v>
      </c>
      <c r="P156" s="52"/>
      <c r="R156" s="69">
        <f t="shared" si="13"/>
        <v>0</v>
      </c>
      <c r="U156" s="62"/>
      <c r="V156" s="63"/>
      <c r="W156" s="75">
        <f t="shared" si="15"/>
        <v>0</v>
      </c>
      <c r="X156" s="65"/>
      <c r="Y156" s="66">
        <f t="shared" si="12"/>
        <v>0.15763888888888888</v>
      </c>
      <c r="Z156" s="76" t="str">
        <f t="shared" si="17"/>
        <v/>
      </c>
      <c r="AA156" s="77" t="str">
        <f t="shared" si="16"/>
        <v/>
      </c>
      <c r="AC156" s="2"/>
      <c r="AD156" s="2"/>
      <c r="AE156" s="72" t="str">
        <f t="shared" si="14"/>
        <v/>
      </c>
    </row>
    <row r="157" spans="1:31" ht="13.05" customHeight="1">
      <c r="A157" s="8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9"/>
      <c r="P157" s="52"/>
      <c r="R157" s="69">
        <f t="shared" si="13"/>
        <v>0</v>
      </c>
      <c r="U157" s="62"/>
      <c r="V157" s="63"/>
      <c r="W157" s="75">
        <f t="shared" si="15"/>
        <v>0</v>
      </c>
      <c r="X157" s="65"/>
      <c r="Y157" s="66">
        <f t="shared" si="12"/>
        <v>0</v>
      </c>
      <c r="Z157" s="76" t="str">
        <f t="shared" si="17"/>
        <v/>
      </c>
      <c r="AA157" s="77" t="str">
        <f t="shared" si="16"/>
        <v/>
      </c>
      <c r="AC157" s="2"/>
      <c r="AD157" s="2"/>
      <c r="AE157" s="72" t="str">
        <f t="shared" si="14"/>
        <v/>
      </c>
    </row>
    <row r="158" spans="1:31" ht="13.05" customHeight="1">
      <c r="A158" s="8" t="s">
        <v>164</v>
      </c>
      <c r="B158" s="4" t="s">
        <v>159</v>
      </c>
      <c r="C158" s="4" t="s">
        <v>160</v>
      </c>
      <c r="D158" s="4" t="s">
        <v>163</v>
      </c>
      <c r="E158" s="4" t="s">
        <v>162</v>
      </c>
      <c r="F158" s="4" t="s">
        <v>162</v>
      </c>
      <c r="G158" s="4"/>
      <c r="H158" s="4" t="s">
        <v>380</v>
      </c>
      <c r="I158" s="4" t="s">
        <v>26</v>
      </c>
      <c r="J158" s="4"/>
      <c r="K158" s="4" t="s">
        <v>158</v>
      </c>
      <c r="L158" s="4"/>
      <c r="M158" s="4" t="s">
        <v>386</v>
      </c>
      <c r="N158" s="4" t="s">
        <v>381</v>
      </c>
      <c r="O158" s="9" t="s">
        <v>385</v>
      </c>
      <c r="P158" s="52"/>
      <c r="R158" s="69" t="str">
        <f t="shared" si="13"/>
        <v>2278</v>
      </c>
      <c r="S158" s="4" t="s">
        <v>1112</v>
      </c>
      <c r="U158" s="62"/>
      <c r="V158" s="63"/>
      <c r="W158" s="75">
        <f t="shared" si="15"/>
        <v>2278</v>
      </c>
      <c r="X158" s="65"/>
      <c r="Y158" s="66">
        <f t="shared" si="12"/>
        <v>0.33680555555555558</v>
      </c>
      <c r="Z158" s="76">
        <f t="shared" si="17"/>
        <v>0.14930555555555558</v>
      </c>
      <c r="AA158" s="77" t="str">
        <f t="shared" si="16"/>
        <v>Pause zu spät</v>
      </c>
      <c r="AC158" s="2"/>
      <c r="AD158" s="2"/>
      <c r="AE158" s="72" t="str">
        <f t="shared" si="14"/>
        <v/>
      </c>
    </row>
    <row r="159" spans="1:31" ht="13.05" customHeight="1">
      <c r="A159" s="8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9"/>
      <c r="P159" s="52"/>
      <c r="R159" s="69">
        <f t="shared" si="13"/>
        <v>0</v>
      </c>
      <c r="U159" s="62"/>
      <c r="V159" s="63"/>
      <c r="W159" s="75">
        <f t="shared" si="15"/>
        <v>0</v>
      </c>
      <c r="X159" s="65"/>
      <c r="Y159" s="66">
        <f t="shared" si="12"/>
        <v>0</v>
      </c>
      <c r="Z159" s="76" t="str">
        <f t="shared" si="17"/>
        <v/>
      </c>
      <c r="AA159" s="77" t="str">
        <f t="shared" si="16"/>
        <v/>
      </c>
      <c r="AC159" s="2"/>
      <c r="AD159" s="2"/>
      <c r="AE159" s="72" t="str">
        <f t="shared" si="14"/>
        <v/>
      </c>
    </row>
    <row r="160" spans="1:31" ht="13.05" customHeight="1">
      <c r="A160" s="8" t="s">
        <v>63</v>
      </c>
      <c r="B160" s="4" t="s">
        <v>41</v>
      </c>
      <c r="C160" s="4" t="s">
        <v>59</v>
      </c>
      <c r="D160" s="4" t="s">
        <v>61</v>
      </c>
      <c r="E160" s="4" t="s">
        <v>47</v>
      </c>
      <c r="F160" s="4" t="s">
        <v>119</v>
      </c>
      <c r="G160" s="4"/>
      <c r="H160" s="4" t="s">
        <v>387</v>
      </c>
      <c r="I160" s="4" t="s">
        <v>47</v>
      </c>
      <c r="J160" s="4"/>
      <c r="K160" s="4" t="s">
        <v>52</v>
      </c>
      <c r="L160" s="4" t="s">
        <v>388</v>
      </c>
      <c r="M160" s="4" t="s">
        <v>389</v>
      </c>
      <c r="N160" s="4"/>
      <c r="O160" s="9"/>
      <c r="P160" s="52"/>
      <c r="R160" s="69" t="str">
        <f t="shared" si="13"/>
        <v>2279</v>
      </c>
      <c r="S160" s="4" t="s">
        <v>1112</v>
      </c>
      <c r="U160" s="62"/>
      <c r="V160" s="63"/>
      <c r="W160" s="75">
        <f t="shared" si="15"/>
        <v>2279</v>
      </c>
      <c r="X160" s="65"/>
      <c r="Y160" s="66">
        <f t="shared" si="12"/>
        <v>0.16666666666666663</v>
      </c>
      <c r="Z160" s="76" t="str">
        <f t="shared" si="17"/>
        <v/>
      </c>
      <c r="AA160" s="77" t="str">
        <f t="shared" si="16"/>
        <v>Alles OK</v>
      </c>
      <c r="AC160" s="2"/>
      <c r="AD160" s="2"/>
      <c r="AE160" s="72" t="str">
        <f t="shared" si="14"/>
        <v/>
      </c>
    </row>
    <row r="161" spans="1:31" ht="13.05" customHeight="1">
      <c r="A161" s="8"/>
      <c r="B161" s="4" t="s">
        <v>33</v>
      </c>
      <c r="C161" s="4" t="s">
        <v>234</v>
      </c>
      <c r="D161" s="4" t="s">
        <v>390</v>
      </c>
      <c r="E161" s="4" t="s">
        <v>38</v>
      </c>
      <c r="F161" s="4" t="s">
        <v>38</v>
      </c>
      <c r="G161" s="4"/>
      <c r="H161" s="4" t="s">
        <v>384</v>
      </c>
      <c r="I161" s="4" t="s">
        <v>26</v>
      </c>
      <c r="J161" s="4"/>
      <c r="K161" s="4" t="s">
        <v>244</v>
      </c>
      <c r="L161" s="4"/>
      <c r="M161" s="4"/>
      <c r="N161" s="4" t="s">
        <v>391</v>
      </c>
      <c r="O161" s="9" t="s">
        <v>385</v>
      </c>
      <c r="P161" s="52"/>
      <c r="R161" s="69">
        <f t="shared" si="13"/>
        <v>0</v>
      </c>
      <c r="U161" s="62"/>
      <c r="V161" s="63"/>
      <c r="W161" s="75">
        <f t="shared" si="15"/>
        <v>0</v>
      </c>
      <c r="X161" s="65"/>
      <c r="Y161" s="66">
        <f t="shared" si="12"/>
        <v>0.15763888888888888</v>
      </c>
      <c r="Z161" s="76" t="str">
        <f t="shared" si="17"/>
        <v/>
      </c>
      <c r="AA161" s="77" t="str">
        <f t="shared" si="16"/>
        <v/>
      </c>
      <c r="AC161" s="2"/>
      <c r="AD161" s="2"/>
      <c r="AE161" s="72" t="str">
        <f t="shared" si="14"/>
        <v/>
      </c>
    </row>
    <row r="162" spans="1:31" ht="12.6" customHeight="1">
      <c r="A162" s="8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9"/>
      <c r="P162" s="52"/>
      <c r="R162" s="69">
        <f t="shared" si="13"/>
        <v>0</v>
      </c>
      <c r="U162" s="62"/>
      <c r="V162" s="63"/>
      <c r="W162" s="75">
        <f t="shared" si="15"/>
        <v>0</v>
      </c>
      <c r="X162" s="65"/>
      <c r="Y162" s="66">
        <f t="shared" si="12"/>
        <v>0</v>
      </c>
      <c r="Z162" s="76" t="str">
        <f t="shared" si="17"/>
        <v/>
      </c>
      <c r="AA162" s="77" t="str">
        <f t="shared" si="16"/>
        <v/>
      </c>
      <c r="AC162" s="2"/>
      <c r="AD162" s="2"/>
      <c r="AE162" s="72" t="str">
        <f t="shared" si="14"/>
        <v/>
      </c>
    </row>
    <row r="163" spans="1:31" ht="13.05" customHeight="1">
      <c r="A163" s="8" t="s">
        <v>207</v>
      </c>
      <c r="B163" s="4" t="s">
        <v>105</v>
      </c>
      <c r="C163" s="4" t="s">
        <v>106</v>
      </c>
      <c r="D163" s="4" t="s">
        <v>206</v>
      </c>
      <c r="E163" s="4" t="s">
        <v>36</v>
      </c>
      <c r="F163" s="4" t="s">
        <v>36</v>
      </c>
      <c r="G163" s="4"/>
      <c r="H163" s="4" t="s">
        <v>275</v>
      </c>
      <c r="I163" s="4" t="s">
        <v>36</v>
      </c>
      <c r="J163" s="4"/>
      <c r="K163" s="4" t="s">
        <v>177</v>
      </c>
      <c r="L163" s="4" t="s">
        <v>215</v>
      </c>
      <c r="M163" s="4" t="s">
        <v>392</v>
      </c>
      <c r="N163" s="4"/>
      <c r="O163" s="9"/>
      <c r="P163" s="52"/>
      <c r="R163" s="69" t="str">
        <f t="shared" si="13"/>
        <v>2280</v>
      </c>
      <c r="S163" s="4" t="s">
        <v>1112</v>
      </c>
      <c r="U163" s="62"/>
      <c r="V163" s="63"/>
      <c r="W163" s="75">
        <f t="shared" si="15"/>
        <v>2280</v>
      </c>
      <c r="X163" s="65"/>
      <c r="Y163" s="66">
        <f t="shared" si="12"/>
        <v>8.333333333333337E-2</v>
      </c>
      <c r="Z163" s="76" t="str">
        <f t="shared" si="17"/>
        <v/>
      </c>
      <c r="AA163" s="77" t="str">
        <f t="shared" si="16"/>
        <v>Pause zu früh</v>
      </c>
      <c r="AC163" s="2"/>
      <c r="AD163" s="2"/>
      <c r="AE163" s="72" t="str">
        <f t="shared" si="14"/>
        <v/>
      </c>
    </row>
    <row r="164" spans="1:31" ht="13.05" customHeight="1">
      <c r="A164" s="8"/>
      <c r="B164" s="4" t="s">
        <v>33</v>
      </c>
      <c r="C164" s="4" t="s">
        <v>345</v>
      </c>
      <c r="D164" s="4" t="s">
        <v>393</v>
      </c>
      <c r="E164" s="4" t="s">
        <v>26</v>
      </c>
      <c r="F164" s="4" t="s">
        <v>36</v>
      </c>
      <c r="G164" s="4"/>
      <c r="H164" s="4" t="s">
        <v>358</v>
      </c>
      <c r="I164" s="4" t="s">
        <v>38</v>
      </c>
      <c r="J164" s="4"/>
      <c r="K164" s="4"/>
      <c r="L164" s="4" t="s">
        <v>125</v>
      </c>
      <c r="M164" s="4"/>
      <c r="N164" s="4"/>
      <c r="O164" s="9"/>
      <c r="P164" s="52"/>
      <c r="R164" s="69">
        <f t="shared" si="13"/>
        <v>0</v>
      </c>
      <c r="U164" s="62"/>
      <c r="V164" s="63"/>
      <c r="W164" s="75">
        <f t="shared" si="15"/>
        <v>0</v>
      </c>
      <c r="X164" s="65"/>
      <c r="Y164" s="66">
        <f t="shared" si="12"/>
        <v>5.0000000000000044E-2</v>
      </c>
      <c r="Z164" s="76" t="str">
        <f t="shared" si="17"/>
        <v/>
      </c>
      <c r="AA164" s="77" t="str">
        <f t="shared" si="16"/>
        <v/>
      </c>
      <c r="AC164" s="2"/>
      <c r="AD164" s="2"/>
      <c r="AE164" s="72" t="str">
        <f t="shared" si="14"/>
        <v/>
      </c>
    </row>
    <row r="165" spans="1:31" ht="13.05" customHeight="1">
      <c r="A165" s="8"/>
      <c r="B165" s="4" t="s">
        <v>33</v>
      </c>
      <c r="C165" s="4" t="s">
        <v>67</v>
      </c>
      <c r="D165" s="4" t="s">
        <v>394</v>
      </c>
      <c r="E165" s="4" t="s">
        <v>38</v>
      </c>
      <c r="F165" s="4" t="s">
        <v>38</v>
      </c>
      <c r="G165" s="4"/>
      <c r="H165" s="4" t="s">
        <v>395</v>
      </c>
      <c r="I165" s="4" t="s">
        <v>26</v>
      </c>
      <c r="J165" s="4"/>
      <c r="K165" s="4" t="s">
        <v>193</v>
      </c>
      <c r="L165" s="4"/>
      <c r="M165" s="4"/>
      <c r="N165" s="4" t="s">
        <v>396</v>
      </c>
      <c r="O165" s="9" t="s">
        <v>397</v>
      </c>
      <c r="P165" s="52"/>
      <c r="R165" s="69">
        <f t="shared" si="13"/>
        <v>0</v>
      </c>
      <c r="U165" s="62"/>
      <c r="V165" s="63"/>
      <c r="W165" s="75">
        <f t="shared" si="15"/>
        <v>0</v>
      </c>
      <c r="X165" s="65"/>
      <c r="Y165" s="66">
        <f t="shared" si="12"/>
        <v>0.14722222222222225</v>
      </c>
      <c r="Z165" s="76" t="str">
        <f t="shared" si="17"/>
        <v/>
      </c>
      <c r="AA165" s="77" t="str">
        <f t="shared" si="16"/>
        <v/>
      </c>
      <c r="AC165" s="2"/>
      <c r="AD165" s="2"/>
      <c r="AE165" s="72" t="str">
        <f t="shared" si="14"/>
        <v/>
      </c>
    </row>
    <row r="166" spans="1:31" ht="13.05" customHeight="1">
      <c r="A166" s="8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9"/>
      <c r="P166" s="52"/>
      <c r="R166" s="69">
        <f t="shared" si="13"/>
        <v>0</v>
      </c>
      <c r="U166" s="62"/>
      <c r="V166" s="63"/>
      <c r="W166" s="75">
        <f t="shared" si="15"/>
        <v>0</v>
      </c>
      <c r="X166" s="65"/>
      <c r="Y166" s="66">
        <f t="shared" si="12"/>
        <v>0</v>
      </c>
      <c r="Z166" s="76" t="str">
        <f t="shared" si="17"/>
        <v/>
      </c>
      <c r="AA166" s="77" t="str">
        <f t="shared" si="16"/>
        <v/>
      </c>
      <c r="AC166" s="2"/>
      <c r="AD166" s="2"/>
      <c r="AE166" s="72" t="str">
        <f t="shared" si="14"/>
        <v/>
      </c>
    </row>
    <row r="167" spans="1:31" ht="13.05" customHeight="1">
      <c r="A167" s="8" t="s">
        <v>135</v>
      </c>
      <c r="B167" s="4" t="s">
        <v>87</v>
      </c>
      <c r="C167" s="4" t="s">
        <v>130</v>
      </c>
      <c r="D167" s="4" t="s">
        <v>133</v>
      </c>
      <c r="E167" s="4" t="s">
        <v>47</v>
      </c>
      <c r="F167" s="4" t="s">
        <v>132</v>
      </c>
      <c r="G167" s="4"/>
      <c r="H167" s="4" t="s">
        <v>323</v>
      </c>
      <c r="I167" s="4" t="s">
        <v>47</v>
      </c>
      <c r="J167" s="4"/>
      <c r="K167" s="4" t="s">
        <v>92</v>
      </c>
      <c r="L167" s="4" t="s">
        <v>71</v>
      </c>
      <c r="M167" s="4" t="s">
        <v>64</v>
      </c>
      <c r="N167" s="4"/>
      <c r="O167" s="9"/>
      <c r="P167" s="52"/>
      <c r="R167" s="69" t="str">
        <f t="shared" si="13"/>
        <v>2281</v>
      </c>
      <c r="S167" s="4" t="s">
        <v>1112</v>
      </c>
      <c r="U167" s="62"/>
      <c r="V167" s="63"/>
      <c r="W167" s="75">
        <f t="shared" si="15"/>
        <v>2281</v>
      </c>
      <c r="X167" s="65"/>
      <c r="Y167" s="66">
        <f t="shared" si="12"/>
        <v>0.16666666666666674</v>
      </c>
      <c r="Z167" s="76" t="str">
        <f t="shared" si="17"/>
        <v/>
      </c>
      <c r="AA167" s="77" t="str">
        <f t="shared" si="16"/>
        <v>Alles OK</v>
      </c>
      <c r="AC167" s="2"/>
      <c r="AD167" s="2"/>
      <c r="AE167" s="72" t="str">
        <f t="shared" si="14"/>
        <v/>
      </c>
    </row>
    <row r="168" spans="1:31" ht="13.05" customHeight="1">
      <c r="A168" s="8"/>
      <c r="B168" s="4" t="s">
        <v>33</v>
      </c>
      <c r="C168" s="4" t="s">
        <v>198</v>
      </c>
      <c r="D168" s="4" t="s">
        <v>398</v>
      </c>
      <c r="E168" s="4" t="s">
        <v>38</v>
      </c>
      <c r="F168" s="4" t="s">
        <v>38</v>
      </c>
      <c r="G168" s="4"/>
      <c r="H168" s="4" t="s">
        <v>396</v>
      </c>
      <c r="I168" s="4" t="s">
        <v>26</v>
      </c>
      <c r="J168" s="4"/>
      <c r="K168" s="4" t="s">
        <v>202</v>
      </c>
      <c r="L168" s="4"/>
      <c r="M168" s="4"/>
      <c r="N168" s="4" t="s">
        <v>399</v>
      </c>
      <c r="O168" s="9" t="s">
        <v>400</v>
      </c>
      <c r="P168" s="52"/>
      <c r="R168" s="69">
        <f t="shared" si="13"/>
        <v>0</v>
      </c>
      <c r="U168" s="62"/>
      <c r="V168" s="63"/>
      <c r="W168" s="75">
        <f t="shared" si="15"/>
        <v>0</v>
      </c>
      <c r="X168" s="65"/>
      <c r="Y168" s="66">
        <f t="shared" si="12"/>
        <v>0.14722222222222214</v>
      </c>
      <c r="Z168" s="76" t="str">
        <f t="shared" si="17"/>
        <v/>
      </c>
      <c r="AA168" s="77" t="str">
        <f t="shared" si="16"/>
        <v/>
      </c>
      <c r="AC168" s="2"/>
      <c r="AD168" s="2"/>
      <c r="AE168" s="72" t="str">
        <f t="shared" si="14"/>
        <v/>
      </c>
    </row>
    <row r="169" spans="1:31" ht="13.05" customHeight="1">
      <c r="A169" s="8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9"/>
      <c r="P169" s="52"/>
      <c r="R169" s="69">
        <f t="shared" si="13"/>
        <v>0</v>
      </c>
      <c r="U169" s="62"/>
      <c r="V169" s="63"/>
      <c r="W169" s="75">
        <f t="shared" si="15"/>
        <v>0</v>
      </c>
      <c r="X169" s="65"/>
      <c r="Y169" s="66">
        <f t="shared" si="12"/>
        <v>0</v>
      </c>
      <c r="Z169" s="76" t="str">
        <f t="shared" si="17"/>
        <v/>
      </c>
      <c r="AA169" s="77" t="str">
        <f t="shared" si="16"/>
        <v/>
      </c>
      <c r="AC169" s="2"/>
      <c r="AD169" s="2"/>
      <c r="AE169" s="72" t="str">
        <f t="shared" si="14"/>
        <v/>
      </c>
    </row>
    <row r="170" spans="1:31" ht="12.6" customHeight="1">
      <c r="A170" s="8" t="s">
        <v>238</v>
      </c>
      <c r="B170" s="4" t="s">
        <v>87</v>
      </c>
      <c r="C170" s="4" t="s">
        <v>88</v>
      </c>
      <c r="D170" s="4" t="s">
        <v>231</v>
      </c>
      <c r="E170" s="4" t="s">
        <v>44</v>
      </c>
      <c r="F170" s="4" t="s">
        <v>90</v>
      </c>
      <c r="G170" s="4"/>
      <c r="H170" s="4" t="s">
        <v>401</v>
      </c>
      <c r="I170" s="4" t="s">
        <v>44</v>
      </c>
      <c r="J170" s="4"/>
      <c r="K170" s="4" t="s">
        <v>93</v>
      </c>
      <c r="L170" s="4" t="s">
        <v>402</v>
      </c>
      <c r="M170" s="4" t="s">
        <v>230</v>
      </c>
      <c r="N170" s="4"/>
      <c r="O170" s="9"/>
      <c r="P170" s="52"/>
      <c r="R170" s="69" t="str">
        <f t="shared" si="13"/>
        <v>2282</v>
      </c>
      <c r="S170" s="4" t="s">
        <v>1112</v>
      </c>
      <c r="U170" s="62"/>
      <c r="V170" s="63"/>
      <c r="W170" s="75">
        <f t="shared" si="15"/>
        <v>2282</v>
      </c>
      <c r="X170" s="65"/>
      <c r="Y170" s="66">
        <f t="shared" si="12"/>
        <v>0.16666666666666663</v>
      </c>
      <c r="Z170" s="76" t="str">
        <f t="shared" si="17"/>
        <v/>
      </c>
      <c r="AA170" s="77" t="str">
        <f t="shared" si="16"/>
        <v>Alles OK</v>
      </c>
      <c r="AC170" s="2"/>
      <c r="AD170" s="2"/>
      <c r="AE170" s="72" t="str">
        <f t="shared" si="14"/>
        <v/>
      </c>
    </row>
    <row r="171" spans="1:31" ht="13.05" customHeight="1">
      <c r="A171" s="8"/>
      <c r="B171" s="4" t="s">
        <v>33</v>
      </c>
      <c r="C171" s="4" t="s">
        <v>259</v>
      </c>
      <c r="D171" s="4" t="s">
        <v>333</v>
      </c>
      <c r="E171" s="4" t="s">
        <v>38</v>
      </c>
      <c r="F171" s="4" t="s">
        <v>38</v>
      </c>
      <c r="G171" s="4"/>
      <c r="H171" s="4" t="s">
        <v>403</v>
      </c>
      <c r="I171" s="4" t="s">
        <v>26</v>
      </c>
      <c r="J171" s="4"/>
      <c r="K171" s="4" t="s">
        <v>328</v>
      </c>
      <c r="L171" s="4"/>
      <c r="M171" s="4"/>
      <c r="N171" s="4"/>
      <c r="O171" s="9"/>
      <c r="P171" s="52"/>
      <c r="R171" s="69">
        <f t="shared" si="13"/>
        <v>0</v>
      </c>
      <c r="U171" s="62"/>
      <c r="V171" s="63"/>
      <c r="W171" s="75">
        <f t="shared" si="15"/>
        <v>0</v>
      </c>
      <c r="X171" s="65"/>
      <c r="Y171" s="66">
        <f t="shared" si="12"/>
        <v>4.513888888888884E-2</v>
      </c>
      <c r="Z171" s="76" t="str">
        <f t="shared" si="17"/>
        <v/>
      </c>
      <c r="AA171" s="77" t="str">
        <f t="shared" si="16"/>
        <v/>
      </c>
      <c r="AC171" s="2"/>
      <c r="AD171" s="2"/>
      <c r="AE171" s="72" t="str">
        <f t="shared" si="14"/>
        <v/>
      </c>
    </row>
    <row r="172" spans="1:31" ht="13.05" customHeight="1">
      <c r="A172" s="8"/>
      <c r="B172" s="4" t="s">
        <v>33</v>
      </c>
      <c r="C172" s="4" t="s">
        <v>34</v>
      </c>
      <c r="D172" s="4" t="s">
        <v>404</v>
      </c>
      <c r="E172" s="4" t="s">
        <v>36</v>
      </c>
      <c r="F172" s="4" t="s">
        <v>36</v>
      </c>
      <c r="G172" s="4"/>
      <c r="H172" s="4" t="s">
        <v>405</v>
      </c>
      <c r="I172" s="4" t="s">
        <v>26</v>
      </c>
      <c r="J172" s="4"/>
      <c r="K172" s="4" t="s">
        <v>363</v>
      </c>
      <c r="L172" s="4"/>
      <c r="M172" s="4"/>
      <c r="N172" s="4" t="s">
        <v>406</v>
      </c>
      <c r="O172" s="9" t="s">
        <v>407</v>
      </c>
      <c r="P172" s="52"/>
      <c r="R172" s="69">
        <f t="shared" si="13"/>
        <v>0</v>
      </c>
      <c r="U172" s="62"/>
      <c r="V172" s="63"/>
      <c r="W172" s="75">
        <f t="shared" si="15"/>
        <v>0</v>
      </c>
      <c r="X172" s="65"/>
      <c r="Y172" s="66">
        <f t="shared" si="12"/>
        <v>7.291666666666663E-2</v>
      </c>
      <c r="Z172" s="76" t="str">
        <f t="shared" si="17"/>
        <v/>
      </c>
      <c r="AA172" s="77" t="str">
        <f t="shared" si="16"/>
        <v/>
      </c>
      <c r="AC172" s="2"/>
      <c r="AD172" s="2"/>
      <c r="AE172" s="72" t="str">
        <f t="shared" si="14"/>
        <v/>
      </c>
    </row>
    <row r="173" spans="1:31" ht="13.05" customHeight="1">
      <c r="A173" s="8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9"/>
      <c r="P173" s="52"/>
      <c r="R173" s="69">
        <f t="shared" si="13"/>
        <v>0</v>
      </c>
      <c r="U173" s="62"/>
      <c r="V173" s="63"/>
      <c r="W173" s="75">
        <f t="shared" si="15"/>
        <v>0</v>
      </c>
      <c r="X173" s="65"/>
      <c r="Y173" s="66">
        <f t="shared" si="12"/>
        <v>0</v>
      </c>
      <c r="Z173" s="76" t="str">
        <f t="shared" si="17"/>
        <v/>
      </c>
      <c r="AA173" s="77" t="str">
        <f t="shared" si="16"/>
        <v/>
      </c>
      <c r="AC173" s="2"/>
      <c r="AD173" s="2"/>
      <c r="AE173" s="72" t="str">
        <f t="shared" si="14"/>
        <v/>
      </c>
    </row>
    <row r="174" spans="1:31" ht="13.05" customHeight="1">
      <c r="A174" s="8" t="s">
        <v>178</v>
      </c>
      <c r="B174" s="4" t="s">
        <v>233</v>
      </c>
      <c r="C174" s="4" t="s">
        <v>174</v>
      </c>
      <c r="D174" s="4" t="s">
        <v>176</v>
      </c>
      <c r="E174" s="4" t="s">
        <v>38</v>
      </c>
      <c r="F174" s="4" t="s">
        <v>38</v>
      </c>
      <c r="G174" s="4"/>
      <c r="H174" s="4" t="s">
        <v>382</v>
      </c>
      <c r="I174" s="4" t="s">
        <v>38</v>
      </c>
      <c r="J174" s="4"/>
      <c r="K174" s="4" t="s">
        <v>168</v>
      </c>
      <c r="L174" s="4" t="s">
        <v>101</v>
      </c>
      <c r="M174" s="4" t="s">
        <v>408</v>
      </c>
      <c r="N174" s="4"/>
      <c r="O174" s="9"/>
      <c r="P174" s="52"/>
      <c r="R174" s="69" t="str">
        <f t="shared" si="13"/>
        <v>2283</v>
      </c>
      <c r="S174" s="4" t="s">
        <v>1112</v>
      </c>
      <c r="U174" s="62"/>
      <c r="V174" s="63"/>
      <c r="W174" s="75">
        <f t="shared" si="15"/>
        <v>2283</v>
      </c>
      <c r="X174" s="65"/>
      <c r="Y174" s="66">
        <f t="shared" si="12"/>
        <v>0.15486111111111112</v>
      </c>
      <c r="Z174" s="76" t="str">
        <f t="shared" si="17"/>
        <v/>
      </c>
      <c r="AA174" s="77" t="str">
        <f t="shared" si="16"/>
        <v>Alles OK</v>
      </c>
      <c r="AC174" s="2"/>
      <c r="AD174" s="2"/>
      <c r="AE174" s="72" t="str">
        <f t="shared" si="14"/>
        <v/>
      </c>
    </row>
    <row r="175" spans="1:31" ht="13.05" customHeight="1">
      <c r="A175" s="8"/>
      <c r="B175" s="4" t="s">
        <v>41</v>
      </c>
      <c r="C175" s="4" t="s">
        <v>121</v>
      </c>
      <c r="D175" s="4" t="s">
        <v>339</v>
      </c>
      <c r="E175" s="4" t="s">
        <v>44</v>
      </c>
      <c r="F175" s="4" t="s">
        <v>98</v>
      </c>
      <c r="G175" s="4"/>
      <c r="H175" s="4" t="s">
        <v>383</v>
      </c>
      <c r="I175" s="4" t="s">
        <v>26</v>
      </c>
      <c r="J175" s="4"/>
      <c r="K175" s="4" t="s">
        <v>337</v>
      </c>
      <c r="L175" s="4"/>
      <c r="M175" s="4"/>
      <c r="N175" s="4" t="s">
        <v>384</v>
      </c>
      <c r="O175" s="9" t="s">
        <v>409</v>
      </c>
      <c r="P175" s="52"/>
      <c r="R175" s="69">
        <f t="shared" si="13"/>
        <v>0</v>
      </c>
      <c r="U175" s="62"/>
      <c r="V175" s="63"/>
      <c r="W175" s="75">
        <f t="shared" si="15"/>
        <v>0</v>
      </c>
      <c r="X175" s="65"/>
      <c r="Y175" s="66">
        <f t="shared" si="12"/>
        <v>0.125</v>
      </c>
      <c r="Z175" s="76" t="str">
        <f t="shared" si="17"/>
        <v/>
      </c>
      <c r="AA175" s="77" t="str">
        <f t="shared" si="16"/>
        <v/>
      </c>
      <c r="AC175" s="2"/>
      <c r="AD175" s="2"/>
      <c r="AE175" s="72" t="str">
        <f t="shared" si="14"/>
        <v/>
      </c>
    </row>
    <row r="176" spans="1:31" ht="12.6" customHeight="1">
      <c r="A176" s="8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9"/>
      <c r="P176" s="52"/>
      <c r="R176" s="69">
        <f t="shared" si="13"/>
        <v>0</v>
      </c>
      <c r="U176" s="62"/>
      <c r="V176" s="63"/>
      <c r="W176" s="75">
        <f t="shared" si="15"/>
        <v>0</v>
      </c>
      <c r="X176" s="65"/>
      <c r="Y176" s="66">
        <f t="shared" si="12"/>
        <v>0</v>
      </c>
      <c r="Z176" s="76" t="str">
        <f t="shared" si="17"/>
        <v/>
      </c>
      <c r="AA176" s="77" t="str">
        <f t="shared" si="16"/>
        <v/>
      </c>
      <c r="AC176" s="2"/>
      <c r="AD176" s="2"/>
      <c r="AE176" s="72" t="str">
        <f t="shared" si="14"/>
        <v/>
      </c>
    </row>
    <row r="177" spans="1:31" ht="12.6" customHeight="1">
      <c r="A177" s="8" t="s">
        <v>202</v>
      </c>
      <c r="B177" s="4" t="s">
        <v>33</v>
      </c>
      <c r="C177" s="4" t="s">
        <v>198</v>
      </c>
      <c r="D177" s="4" t="s">
        <v>200</v>
      </c>
      <c r="E177" s="4" t="s">
        <v>38</v>
      </c>
      <c r="F177" s="4" t="s">
        <v>38</v>
      </c>
      <c r="G177" s="4"/>
      <c r="H177" s="4" t="s">
        <v>398</v>
      </c>
      <c r="I177" s="4" t="s">
        <v>38</v>
      </c>
      <c r="J177" s="4"/>
      <c r="K177" s="4" t="s">
        <v>146</v>
      </c>
      <c r="L177" s="4" t="s">
        <v>135</v>
      </c>
      <c r="M177" s="4" t="s">
        <v>410</v>
      </c>
      <c r="N177" s="4"/>
      <c r="O177" s="9"/>
      <c r="P177" s="52"/>
      <c r="R177" s="69" t="str">
        <f t="shared" si="13"/>
        <v>2284</v>
      </c>
      <c r="S177" s="4" t="s">
        <v>1112</v>
      </c>
      <c r="U177" s="62"/>
      <c r="V177" s="63"/>
      <c r="W177" s="75">
        <f t="shared" si="15"/>
        <v>2284</v>
      </c>
      <c r="X177" s="65"/>
      <c r="Y177" s="66">
        <f t="shared" si="12"/>
        <v>0.16666666666666674</v>
      </c>
      <c r="Z177" s="76" t="str">
        <f t="shared" si="17"/>
        <v/>
      </c>
      <c r="AA177" s="77" t="str">
        <f t="shared" si="16"/>
        <v>Alles OK</v>
      </c>
      <c r="AC177" s="2"/>
      <c r="AD177" s="2"/>
      <c r="AE177" s="72" t="str">
        <f t="shared" si="14"/>
        <v/>
      </c>
    </row>
    <row r="178" spans="1:31" ht="13.05" customHeight="1">
      <c r="A178" s="8"/>
      <c r="B178" s="4" t="s">
        <v>33</v>
      </c>
      <c r="C178" s="4" t="s">
        <v>169</v>
      </c>
      <c r="D178" s="4" t="s">
        <v>411</v>
      </c>
      <c r="E178" s="4" t="s">
        <v>38</v>
      </c>
      <c r="F178" s="4" t="s">
        <v>38</v>
      </c>
      <c r="G178" s="4"/>
      <c r="H178" s="4" t="s">
        <v>412</v>
      </c>
      <c r="I178" s="4" t="s">
        <v>26</v>
      </c>
      <c r="J178" s="4"/>
      <c r="K178" s="4" t="s">
        <v>223</v>
      </c>
      <c r="L178" s="4"/>
      <c r="M178" s="4"/>
      <c r="N178" s="4" t="s">
        <v>413</v>
      </c>
      <c r="O178" s="9" t="s">
        <v>414</v>
      </c>
      <c r="P178" s="52"/>
      <c r="R178" s="69">
        <f t="shared" si="13"/>
        <v>0</v>
      </c>
      <c r="U178" s="62"/>
      <c r="V178" s="63"/>
      <c r="W178" s="75">
        <f t="shared" si="15"/>
        <v>0</v>
      </c>
      <c r="X178" s="65"/>
      <c r="Y178" s="66">
        <f t="shared" si="12"/>
        <v>0.13888888888888895</v>
      </c>
      <c r="Z178" s="76" t="str">
        <f t="shared" si="17"/>
        <v/>
      </c>
      <c r="AA178" s="77" t="str">
        <f t="shared" si="16"/>
        <v/>
      </c>
      <c r="AC178" s="2"/>
      <c r="AD178" s="2"/>
      <c r="AE178" s="72" t="str">
        <f t="shared" si="14"/>
        <v/>
      </c>
    </row>
    <row r="179" spans="1:31" ht="13.05" customHeight="1">
      <c r="A179" s="8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9"/>
      <c r="P179" s="52"/>
      <c r="R179" s="69">
        <f t="shared" si="13"/>
        <v>0</v>
      </c>
      <c r="U179" s="62"/>
      <c r="V179" s="63"/>
      <c r="W179" s="75">
        <f t="shared" si="15"/>
        <v>0</v>
      </c>
      <c r="X179" s="65"/>
      <c r="Y179" s="66">
        <f t="shared" si="12"/>
        <v>0</v>
      </c>
      <c r="Z179" s="76" t="str">
        <f t="shared" si="17"/>
        <v/>
      </c>
      <c r="AA179" s="77" t="str">
        <f t="shared" si="16"/>
        <v/>
      </c>
      <c r="AC179" s="2"/>
      <c r="AD179" s="2"/>
      <c r="AE179" s="72" t="str">
        <f t="shared" si="14"/>
        <v/>
      </c>
    </row>
    <row r="180" spans="1:31" ht="13.05" customHeight="1">
      <c r="A180" s="8" t="s">
        <v>193</v>
      </c>
      <c r="B180" s="4" t="s">
        <v>33</v>
      </c>
      <c r="C180" s="4" t="s">
        <v>67</v>
      </c>
      <c r="D180" s="4" t="s">
        <v>192</v>
      </c>
      <c r="E180" s="4" t="s">
        <v>36</v>
      </c>
      <c r="F180" s="4" t="s">
        <v>36</v>
      </c>
      <c r="G180" s="4"/>
      <c r="H180" s="4" t="s">
        <v>394</v>
      </c>
      <c r="I180" s="4" t="s">
        <v>38</v>
      </c>
      <c r="J180" s="4"/>
      <c r="K180" s="4" t="s">
        <v>115</v>
      </c>
      <c r="L180" s="4" t="s">
        <v>207</v>
      </c>
      <c r="M180" s="4" t="s">
        <v>200</v>
      </c>
      <c r="N180" s="4"/>
      <c r="O180" s="9"/>
      <c r="P180" s="52"/>
      <c r="R180" s="69" t="str">
        <f t="shared" si="13"/>
        <v>2285</v>
      </c>
      <c r="S180" s="4" t="s">
        <v>1112</v>
      </c>
      <c r="U180" s="62"/>
      <c r="V180" s="63"/>
      <c r="W180" s="75">
        <f t="shared" si="15"/>
        <v>2285</v>
      </c>
      <c r="X180" s="65"/>
      <c r="Y180" s="66">
        <f t="shared" si="12"/>
        <v>0.14930555555555558</v>
      </c>
      <c r="Z180" s="76" t="str">
        <f t="shared" si="17"/>
        <v/>
      </c>
      <c r="AA180" s="77" t="str">
        <f t="shared" si="16"/>
        <v>Alles OK</v>
      </c>
      <c r="AC180" s="2"/>
      <c r="AD180" s="2"/>
      <c r="AE180" s="72" t="str">
        <f t="shared" si="14"/>
        <v/>
      </c>
    </row>
    <row r="181" spans="1:31" ht="13.05" customHeight="1">
      <c r="A181" s="8"/>
      <c r="B181" s="4" t="s">
        <v>33</v>
      </c>
      <c r="C181" s="4" t="s">
        <v>73</v>
      </c>
      <c r="D181" s="4" t="s">
        <v>415</v>
      </c>
      <c r="E181" s="4" t="s">
        <v>38</v>
      </c>
      <c r="F181" s="4" t="s">
        <v>38</v>
      </c>
      <c r="G181" s="4"/>
      <c r="H181" s="4" t="s">
        <v>399</v>
      </c>
      <c r="I181" s="4" t="s">
        <v>26</v>
      </c>
      <c r="J181" s="4"/>
      <c r="K181" s="4" t="s">
        <v>253</v>
      </c>
      <c r="L181" s="4"/>
      <c r="M181" s="4"/>
      <c r="N181" s="4" t="s">
        <v>416</v>
      </c>
      <c r="O181" s="9" t="s">
        <v>417</v>
      </c>
      <c r="P181" s="52"/>
      <c r="R181" s="69">
        <f t="shared" si="13"/>
        <v>0</v>
      </c>
      <c r="U181" s="62"/>
      <c r="V181" s="63"/>
      <c r="W181" s="75">
        <f t="shared" si="15"/>
        <v>0</v>
      </c>
      <c r="X181" s="65"/>
      <c r="Y181" s="66">
        <f t="shared" si="12"/>
        <v>0.14722222222222225</v>
      </c>
      <c r="Z181" s="76" t="str">
        <f t="shared" si="17"/>
        <v/>
      </c>
      <c r="AA181" s="77" t="str">
        <f t="shared" si="16"/>
        <v/>
      </c>
      <c r="AC181" s="2"/>
      <c r="AD181" s="2"/>
      <c r="AE181" s="72" t="str">
        <f t="shared" si="14"/>
        <v/>
      </c>
    </row>
    <row r="182" spans="1:31" ht="12.6" customHeight="1">
      <c r="A182" s="8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9"/>
      <c r="P182" s="52"/>
      <c r="R182" s="69">
        <f t="shared" si="13"/>
        <v>0</v>
      </c>
      <c r="U182" s="62"/>
      <c r="V182" s="63"/>
      <c r="W182" s="75">
        <f t="shared" si="15"/>
        <v>0</v>
      </c>
      <c r="X182" s="65"/>
      <c r="Y182" s="66">
        <f t="shared" si="12"/>
        <v>0</v>
      </c>
      <c r="Z182" s="76" t="str">
        <f t="shared" si="17"/>
        <v/>
      </c>
      <c r="AA182" s="77" t="str">
        <f t="shared" si="16"/>
        <v/>
      </c>
      <c r="AC182" s="2"/>
      <c r="AD182" s="2"/>
      <c r="AE182" s="72" t="str">
        <f t="shared" si="14"/>
        <v/>
      </c>
    </row>
    <row r="183" spans="1:31" ht="13.05" customHeight="1">
      <c r="A183" s="8" t="s">
        <v>244</v>
      </c>
      <c r="B183" s="4" t="s">
        <v>233</v>
      </c>
      <c r="C183" s="4" t="s">
        <v>234</v>
      </c>
      <c r="D183" s="4" t="s">
        <v>243</v>
      </c>
      <c r="E183" s="4" t="s">
        <v>38</v>
      </c>
      <c r="F183" s="4" t="s">
        <v>38</v>
      </c>
      <c r="G183" s="4"/>
      <c r="H183" s="4" t="s">
        <v>390</v>
      </c>
      <c r="I183" s="4" t="s">
        <v>38</v>
      </c>
      <c r="J183" s="4"/>
      <c r="K183" s="4" t="s">
        <v>154</v>
      </c>
      <c r="L183" s="4" t="s">
        <v>63</v>
      </c>
      <c r="M183" s="4" t="s">
        <v>418</v>
      </c>
      <c r="N183" s="4"/>
      <c r="O183" s="9"/>
      <c r="P183" s="52"/>
      <c r="R183" s="69" t="str">
        <f t="shared" si="13"/>
        <v>2286</v>
      </c>
      <c r="S183" s="4" t="s">
        <v>1112</v>
      </c>
      <c r="U183" s="62"/>
      <c r="V183" s="63"/>
      <c r="W183" s="75">
        <f t="shared" si="15"/>
        <v>2286</v>
      </c>
      <c r="X183" s="65"/>
      <c r="Y183" s="66">
        <f t="shared" si="12"/>
        <v>0.15486111111111112</v>
      </c>
      <c r="Z183" s="76" t="str">
        <f t="shared" si="17"/>
        <v/>
      </c>
      <c r="AA183" s="77" t="str">
        <f t="shared" si="16"/>
        <v>Alles OK</v>
      </c>
      <c r="AC183" s="2"/>
      <c r="AD183" s="2"/>
      <c r="AE183" s="72" t="str">
        <f t="shared" si="14"/>
        <v/>
      </c>
    </row>
    <row r="184" spans="1:31" ht="13.05" customHeight="1">
      <c r="A184" s="8"/>
      <c r="B184" s="4" t="s">
        <v>87</v>
      </c>
      <c r="C184" s="4" t="s">
        <v>212</v>
      </c>
      <c r="D184" s="4" t="s">
        <v>419</v>
      </c>
      <c r="E184" s="4" t="s">
        <v>47</v>
      </c>
      <c r="F184" s="4" t="s">
        <v>132</v>
      </c>
      <c r="G184" s="4"/>
      <c r="H184" s="4" t="s">
        <v>420</v>
      </c>
      <c r="I184" s="4" t="s">
        <v>26</v>
      </c>
      <c r="J184" s="4"/>
      <c r="K184" s="4" t="s">
        <v>216</v>
      </c>
      <c r="L184" s="4"/>
      <c r="M184" s="4"/>
      <c r="N184" s="4" t="s">
        <v>421</v>
      </c>
      <c r="O184" s="9" t="s">
        <v>257</v>
      </c>
      <c r="P184" s="52"/>
      <c r="R184" s="69">
        <f t="shared" si="13"/>
        <v>0</v>
      </c>
      <c r="U184" s="62"/>
      <c r="V184" s="63"/>
      <c r="W184" s="75">
        <f t="shared" si="15"/>
        <v>0</v>
      </c>
      <c r="X184" s="65"/>
      <c r="Y184" s="66">
        <f t="shared" si="12"/>
        <v>0.11805555555555558</v>
      </c>
      <c r="Z184" s="76" t="str">
        <f t="shared" si="17"/>
        <v/>
      </c>
      <c r="AA184" s="77" t="str">
        <f t="shared" si="16"/>
        <v/>
      </c>
      <c r="AC184" s="2"/>
      <c r="AD184" s="2"/>
      <c r="AE184" s="72" t="str">
        <f t="shared" si="14"/>
        <v/>
      </c>
    </row>
    <row r="185" spans="1:31" ht="19.2" customHeight="1">
      <c r="A185" s="8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9"/>
      <c r="P185" s="52"/>
      <c r="R185" s="69">
        <f t="shared" si="13"/>
        <v>0</v>
      </c>
      <c r="U185" s="62"/>
      <c r="V185" s="63"/>
      <c r="W185" s="75">
        <f t="shared" si="15"/>
        <v>0</v>
      </c>
      <c r="X185" s="65"/>
      <c r="Y185" s="66">
        <f t="shared" si="12"/>
        <v>0</v>
      </c>
      <c r="Z185" s="76" t="str">
        <f t="shared" si="17"/>
        <v/>
      </c>
      <c r="AA185" s="77" t="str">
        <f t="shared" si="16"/>
        <v/>
      </c>
      <c r="AC185" s="2"/>
      <c r="AD185" s="2"/>
      <c r="AE185" s="72" t="str">
        <f t="shared" si="14"/>
        <v/>
      </c>
    </row>
    <row r="186" spans="1:31" ht="13.05" customHeight="1">
      <c r="A186" s="8" t="s">
        <v>216</v>
      </c>
      <c r="B186" s="4" t="s">
        <v>87</v>
      </c>
      <c r="C186" s="4" t="s">
        <v>212</v>
      </c>
      <c r="D186" s="4" t="s">
        <v>214</v>
      </c>
      <c r="E186" s="4" t="s">
        <v>47</v>
      </c>
      <c r="F186" s="4" t="s">
        <v>132</v>
      </c>
      <c r="G186" s="4"/>
      <c r="H186" s="4" t="s">
        <v>419</v>
      </c>
      <c r="I186" s="4" t="s">
        <v>47</v>
      </c>
      <c r="J186" s="4"/>
      <c r="K186" s="4" t="s">
        <v>124</v>
      </c>
      <c r="L186" s="4" t="s">
        <v>244</v>
      </c>
      <c r="M186" s="4" t="s">
        <v>422</v>
      </c>
      <c r="N186" s="4"/>
      <c r="O186" s="9"/>
      <c r="P186" s="52"/>
      <c r="R186" s="69" t="str">
        <f t="shared" si="13"/>
        <v>2287</v>
      </c>
      <c r="S186" s="4" t="s">
        <v>1112</v>
      </c>
      <c r="U186" s="62"/>
      <c r="V186" s="63"/>
      <c r="W186" s="75">
        <f t="shared" si="15"/>
        <v>2287</v>
      </c>
      <c r="X186" s="65"/>
      <c r="Y186" s="66">
        <f t="shared" si="12"/>
        <v>0.16666666666666663</v>
      </c>
      <c r="Z186" s="76" t="str">
        <f t="shared" si="17"/>
        <v/>
      </c>
      <c r="AA186" s="77" t="str">
        <f t="shared" si="16"/>
        <v>Alles OK</v>
      </c>
      <c r="AC186" s="2"/>
      <c r="AD186" s="2"/>
      <c r="AE186" s="72" t="str">
        <f t="shared" si="14"/>
        <v/>
      </c>
    </row>
    <row r="187" spans="1:31" ht="13.05" customHeight="1">
      <c r="A187" s="8"/>
      <c r="B187" s="4" t="s">
        <v>87</v>
      </c>
      <c r="C187" s="4" t="s">
        <v>130</v>
      </c>
      <c r="D187" s="4" t="s">
        <v>324</v>
      </c>
      <c r="E187" s="4" t="s">
        <v>47</v>
      </c>
      <c r="F187" s="4" t="s">
        <v>132</v>
      </c>
      <c r="G187" s="4"/>
      <c r="H187" s="4" t="s">
        <v>420</v>
      </c>
      <c r="I187" s="4" t="s">
        <v>26</v>
      </c>
      <c r="J187" s="4"/>
      <c r="K187" s="4" t="s">
        <v>71</v>
      </c>
      <c r="L187" s="4"/>
      <c r="M187" s="4"/>
      <c r="N187" s="4" t="s">
        <v>421</v>
      </c>
      <c r="O187" s="9" t="s">
        <v>343</v>
      </c>
      <c r="P187" s="52"/>
      <c r="R187" s="69">
        <f t="shared" si="13"/>
        <v>0</v>
      </c>
      <c r="U187" s="62"/>
      <c r="V187" s="63"/>
      <c r="W187" s="75">
        <f t="shared" si="15"/>
        <v>0</v>
      </c>
      <c r="X187" s="65"/>
      <c r="Y187" s="66">
        <f t="shared" si="12"/>
        <v>9.027777777777779E-2</v>
      </c>
      <c r="Z187" s="76" t="str">
        <f t="shared" si="17"/>
        <v/>
      </c>
      <c r="AA187" s="77" t="str">
        <f t="shared" si="16"/>
        <v/>
      </c>
      <c r="AC187" s="2"/>
      <c r="AD187" s="2"/>
      <c r="AE187" s="72" t="str">
        <f t="shared" si="14"/>
        <v/>
      </c>
    </row>
    <row r="188" spans="1:31" ht="12.6" customHeight="1">
      <c r="A188" s="8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9"/>
      <c r="P188" s="52"/>
      <c r="R188" s="69">
        <f t="shared" si="13"/>
        <v>0</v>
      </c>
      <c r="U188" s="62"/>
      <c r="V188" s="63"/>
      <c r="W188" s="75">
        <f t="shared" si="15"/>
        <v>0</v>
      </c>
      <c r="X188" s="65"/>
      <c r="Y188" s="66">
        <f t="shared" si="12"/>
        <v>0</v>
      </c>
      <c r="Z188" s="76" t="str">
        <f t="shared" si="17"/>
        <v/>
      </c>
      <c r="AA188" s="77" t="str">
        <f t="shared" si="16"/>
        <v/>
      </c>
      <c r="AC188" s="2"/>
      <c r="AD188" s="2"/>
      <c r="AE188" s="72" t="str">
        <f t="shared" si="14"/>
        <v/>
      </c>
    </row>
    <row r="189" spans="1:31" ht="13.05" customHeight="1">
      <c r="A189" s="8" t="s">
        <v>253</v>
      </c>
      <c r="B189" s="4" t="s">
        <v>33</v>
      </c>
      <c r="C189" s="4" t="s">
        <v>73</v>
      </c>
      <c r="D189" s="4" t="s">
        <v>252</v>
      </c>
      <c r="E189" s="4" t="s">
        <v>36</v>
      </c>
      <c r="F189" s="4" t="s">
        <v>36</v>
      </c>
      <c r="G189" s="4"/>
      <c r="H189" s="4" t="s">
        <v>415</v>
      </c>
      <c r="I189" s="4" t="s">
        <v>38</v>
      </c>
      <c r="J189" s="4"/>
      <c r="K189" s="4" t="s">
        <v>77</v>
      </c>
      <c r="L189" s="4" t="s">
        <v>193</v>
      </c>
      <c r="M189" s="4" t="s">
        <v>423</v>
      </c>
      <c r="N189" s="4"/>
      <c r="O189" s="9"/>
      <c r="P189" s="52"/>
      <c r="R189" s="69" t="str">
        <f t="shared" si="13"/>
        <v>2288</v>
      </c>
      <c r="S189" s="4" t="s">
        <v>1112</v>
      </c>
      <c r="U189" s="62"/>
      <c r="V189" s="63"/>
      <c r="W189" s="75">
        <f t="shared" si="15"/>
        <v>2288</v>
      </c>
      <c r="X189" s="65"/>
      <c r="Y189" s="66">
        <f t="shared" si="12"/>
        <v>0.14930555555555558</v>
      </c>
      <c r="Z189" s="76" t="str">
        <f t="shared" si="17"/>
        <v/>
      </c>
      <c r="AA189" s="77" t="str">
        <f t="shared" si="16"/>
        <v>Alles OK</v>
      </c>
      <c r="AC189" s="2"/>
      <c r="AD189" s="2"/>
      <c r="AE189" s="72" t="str">
        <f t="shared" si="14"/>
        <v/>
      </c>
    </row>
    <row r="190" spans="1:31" ht="13.05" customHeight="1">
      <c r="A190" s="8"/>
      <c r="B190" s="4" t="s">
        <v>81</v>
      </c>
      <c r="C190" s="4" t="s">
        <v>151</v>
      </c>
      <c r="D190" s="4" t="s">
        <v>305</v>
      </c>
      <c r="E190" s="4" t="s">
        <v>47</v>
      </c>
      <c r="F190" s="4" t="s">
        <v>153</v>
      </c>
      <c r="G190" s="4"/>
      <c r="H190" s="4" t="s">
        <v>424</v>
      </c>
      <c r="I190" s="4" t="s">
        <v>44</v>
      </c>
      <c r="J190" s="4"/>
      <c r="K190" s="4" t="s">
        <v>85</v>
      </c>
      <c r="L190" s="4" t="s">
        <v>402</v>
      </c>
      <c r="M190" s="4"/>
      <c r="N190" s="4" t="s">
        <v>425</v>
      </c>
      <c r="O190" s="9" t="s">
        <v>426</v>
      </c>
      <c r="P190" s="52"/>
      <c r="R190" s="69">
        <f t="shared" si="13"/>
        <v>0</v>
      </c>
      <c r="U190" s="62"/>
      <c r="V190" s="63"/>
      <c r="W190" s="75">
        <f t="shared" si="15"/>
        <v>0</v>
      </c>
      <c r="X190" s="65"/>
      <c r="Y190" s="66">
        <f t="shared" si="12"/>
        <v>0.14513888888888893</v>
      </c>
      <c r="Z190" s="76" t="str">
        <f t="shared" si="17"/>
        <v/>
      </c>
      <c r="AA190" s="77" t="str">
        <f t="shared" si="16"/>
        <v/>
      </c>
      <c r="AC190" s="2"/>
      <c r="AD190" s="2"/>
      <c r="AE190" s="72" t="str">
        <f t="shared" si="14"/>
        <v/>
      </c>
    </row>
    <row r="191" spans="1:31" ht="13.05" customHeight="1">
      <c r="A191" s="8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9"/>
      <c r="P191" s="52"/>
      <c r="R191" s="69">
        <f t="shared" si="13"/>
        <v>0</v>
      </c>
      <c r="U191" s="62"/>
      <c r="V191" s="63"/>
      <c r="W191" s="75">
        <f t="shared" si="15"/>
        <v>0</v>
      </c>
      <c r="X191" s="65"/>
      <c r="Y191" s="66">
        <f t="shared" si="12"/>
        <v>0</v>
      </c>
      <c r="Z191" s="76" t="str">
        <f t="shared" si="17"/>
        <v/>
      </c>
      <c r="AA191" s="77" t="str">
        <f t="shared" si="16"/>
        <v/>
      </c>
      <c r="AC191" s="2"/>
      <c r="AD191" s="2"/>
      <c r="AE191" s="72" t="str">
        <f t="shared" si="14"/>
        <v/>
      </c>
    </row>
    <row r="192" spans="1:31" ht="13.05" customHeight="1">
      <c r="A192" s="8" t="s">
        <v>223</v>
      </c>
      <c r="B192" s="4" t="s">
        <v>33</v>
      </c>
      <c r="C192" s="4" t="s">
        <v>169</v>
      </c>
      <c r="D192" s="4" t="s">
        <v>222</v>
      </c>
      <c r="E192" s="4" t="s">
        <v>36</v>
      </c>
      <c r="F192" s="4" t="s">
        <v>36</v>
      </c>
      <c r="G192" s="4"/>
      <c r="H192" s="4" t="s">
        <v>411</v>
      </c>
      <c r="I192" s="4" t="s">
        <v>38</v>
      </c>
      <c r="J192" s="4"/>
      <c r="K192" s="4" t="s">
        <v>201</v>
      </c>
      <c r="L192" s="4" t="s">
        <v>202</v>
      </c>
      <c r="M192" s="4" t="s">
        <v>427</v>
      </c>
      <c r="N192" s="4"/>
      <c r="O192" s="9"/>
      <c r="P192" s="52"/>
      <c r="R192" s="69" t="str">
        <f t="shared" si="13"/>
        <v>2289</v>
      </c>
      <c r="S192" s="4" t="s">
        <v>1112</v>
      </c>
      <c r="U192" s="62"/>
      <c r="V192" s="63"/>
      <c r="W192" s="75">
        <f t="shared" si="15"/>
        <v>2289</v>
      </c>
      <c r="X192" s="65"/>
      <c r="Y192" s="66">
        <f t="shared" si="12"/>
        <v>0.14930555555555547</v>
      </c>
      <c r="Z192" s="76" t="str">
        <f t="shared" si="17"/>
        <v/>
      </c>
      <c r="AA192" s="77" t="str">
        <f t="shared" si="16"/>
        <v>Alles OK</v>
      </c>
      <c r="AC192" s="2"/>
      <c r="AD192" s="2"/>
      <c r="AE192" s="72" t="str">
        <f t="shared" si="14"/>
        <v/>
      </c>
    </row>
    <row r="193" spans="1:31" ht="13.05" customHeight="1">
      <c r="A193" s="8"/>
      <c r="B193" s="4" t="s">
        <v>81</v>
      </c>
      <c r="C193" s="4" t="s">
        <v>54</v>
      </c>
      <c r="D193" s="4" t="s">
        <v>428</v>
      </c>
      <c r="E193" s="4" t="s">
        <v>47</v>
      </c>
      <c r="F193" s="4" t="s">
        <v>153</v>
      </c>
      <c r="G193" s="4"/>
      <c r="H193" s="4" t="s">
        <v>429</v>
      </c>
      <c r="I193" s="4" t="s">
        <v>26</v>
      </c>
      <c r="J193" s="4"/>
      <c r="K193" s="4" t="s">
        <v>379</v>
      </c>
      <c r="L193" s="4"/>
      <c r="M193" s="4"/>
      <c r="N193" s="4" t="s">
        <v>430</v>
      </c>
      <c r="O193" s="9" t="s">
        <v>431</v>
      </c>
      <c r="P193" s="52"/>
      <c r="R193" s="69">
        <f t="shared" si="13"/>
        <v>0</v>
      </c>
      <c r="U193" s="62"/>
      <c r="V193" s="63"/>
      <c r="W193" s="75">
        <f t="shared" si="15"/>
        <v>0</v>
      </c>
      <c r="X193" s="65"/>
      <c r="Y193" s="66">
        <f t="shared" si="12"/>
        <v>9.3055555555555558E-2</v>
      </c>
      <c r="Z193" s="76" t="str">
        <f t="shared" si="17"/>
        <v/>
      </c>
      <c r="AA193" s="77" t="str">
        <f t="shared" si="16"/>
        <v/>
      </c>
      <c r="AC193" s="2"/>
      <c r="AD193" s="2"/>
      <c r="AE193" s="72" t="str">
        <f t="shared" si="14"/>
        <v/>
      </c>
    </row>
    <row r="194" spans="1:31" ht="13.05" customHeight="1">
      <c r="A194" s="8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9"/>
      <c r="P194" s="52"/>
      <c r="R194" s="69">
        <f t="shared" si="13"/>
        <v>0</v>
      </c>
      <c r="U194" s="62"/>
      <c r="V194" s="63"/>
      <c r="W194" s="75">
        <f t="shared" si="15"/>
        <v>0</v>
      </c>
      <c r="X194" s="65"/>
      <c r="Y194" s="66">
        <f t="shared" ref="Y194:Y214" si="18">H194-D194+(H194&lt;D194)</f>
        <v>0</v>
      </c>
      <c r="Z194" s="76" t="str">
        <f t="shared" si="17"/>
        <v/>
      </c>
      <c r="AA194" s="77" t="str">
        <f t="shared" si="16"/>
        <v/>
      </c>
      <c r="AC194" s="2"/>
      <c r="AD194" s="2"/>
      <c r="AE194" s="72" t="str">
        <f t="shared" si="14"/>
        <v/>
      </c>
    </row>
    <row r="195" spans="1:31" ht="12.6" customHeight="1">
      <c r="A195" s="8" t="s">
        <v>363</v>
      </c>
      <c r="B195" s="4" t="s">
        <v>33</v>
      </c>
      <c r="C195" s="4" t="s">
        <v>34</v>
      </c>
      <c r="D195" s="4" t="s">
        <v>362</v>
      </c>
      <c r="E195" s="4" t="s">
        <v>36</v>
      </c>
      <c r="F195" s="4" t="s">
        <v>36</v>
      </c>
      <c r="G195" s="4"/>
      <c r="H195" s="4" t="s">
        <v>404</v>
      </c>
      <c r="I195" s="4" t="s">
        <v>36</v>
      </c>
      <c r="J195" s="4"/>
      <c r="K195" s="4" t="s">
        <v>186</v>
      </c>
      <c r="L195" s="4" t="s">
        <v>238</v>
      </c>
      <c r="M195" s="4" t="s">
        <v>432</v>
      </c>
      <c r="N195" s="4"/>
      <c r="O195" s="9"/>
      <c r="P195" s="52"/>
      <c r="R195" s="69" t="str">
        <f t="shared" si="13"/>
        <v>2290</v>
      </c>
      <c r="S195" s="4" t="s">
        <v>1112</v>
      </c>
      <c r="U195" s="62"/>
      <c r="V195" s="63"/>
      <c r="W195" s="75">
        <f t="shared" si="15"/>
        <v>2290</v>
      </c>
      <c r="X195" s="65"/>
      <c r="Y195" s="66">
        <f t="shared" si="18"/>
        <v>0.16736111111111107</v>
      </c>
      <c r="Z195" s="76" t="str">
        <f t="shared" si="17"/>
        <v/>
      </c>
      <c r="AA195" s="77" t="str">
        <f t="shared" si="16"/>
        <v>Alles OK</v>
      </c>
      <c r="AC195" s="2"/>
      <c r="AD195" s="2"/>
      <c r="AE195" s="72" t="str">
        <f t="shared" si="14"/>
        <v/>
      </c>
    </row>
    <row r="196" spans="1:31" ht="13.05" customHeight="1">
      <c r="A196" s="8"/>
      <c r="B196" s="4" t="s">
        <v>105</v>
      </c>
      <c r="C196" s="4" t="s">
        <v>106</v>
      </c>
      <c r="D196" s="4" t="s">
        <v>433</v>
      </c>
      <c r="E196" s="4" t="s">
        <v>36</v>
      </c>
      <c r="F196" s="4" t="s">
        <v>36</v>
      </c>
      <c r="G196" s="4"/>
      <c r="H196" s="4" t="s">
        <v>434</v>
      </c>
      <c r="I196" s="4" t="s">
        <v>26</v>
      </c>
      <c r="J196" s="4"/>
      <c r="K196" s="4" t="s">
        <v>277</v>
      </c>
      <c r="L196" s="4"/>
      <c r="M196" s="4"/>
      <c r="N196" s="4" t="s">
        <v>435</v>
      </c>
      <c r="O196" s="9" t="s">
        <v>180</v>
      </c>
      <c r="P196" s="52"/>
      <c r="R196" s="69">
        <f t="shared" ref="R196:R214" si="19">A196</f>
        <v>0</v>
      </c>
      <c r="U196" s="62"/>
      <c r="V196" s="63"/>
      <c r="W196" s="75">
        <f t="shared" si="15"/>
        <v>0</v>
      </c>
      <c r="X196" s="65"/>
      <c r="Y196" s="66">
        <f t="shared" si="18"/>
        <v>0.1479166666666667</v>
      </c>
      <c r="Z196" s="76" t="str">
        <f t="shared" si="17"/>
        <v/>
      </c>
      <c r="AA196" s="77" t="str">
        <f t="shared" si="16"/>
        <v/>
      </c>
      <c r="AC196" s="2"/>
      <c r="AD196" s="2"/>
      <c r="AE196" s="72" t="str">
        <f t="shared" ref="AE196:AE214" si="20">IF(O196&gt;="08:31",O196,"")</f>
        <v/>
      </c>
    </row>
    <row r="197" spans="1:31" ht="12.6" customHeight="1">
      <c r="A197" s="8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9"/>
      <c r="P197" s="52"/>
      <c r="R197" s="69">
        <f t="shared" si="19"/>
        <v>0</v>
      </c>
      <c r="U197" s="62"/>
      <c r="V197" s="63"/>
      <c r="W197" s="75">
        <f t="shared" si="15"/>
        <v>0</v>
      </c>
      <c r="X197" s="65"/>
      <c r="Y197" s="66">
        <f t="shared" si="18"/>
        <v>0</v>
      </c>
      <c r="Z197" s="76" t="str">
        <f t="shared" si="17"/>
        <v/>
      </c>
      <c r="AA197" s="77" t="str">
        <f t="shared" si="16"/>
        <v/>
      </c>
      <c r="AC197" s="2"/>
      <c r="AD197" s="2"/>
      <c r="AE197" s="72" t="str">
        <f t="shared" si="20"/>
        <v/>
      </c>
    </row>
    <row r="198" spans="1:31" ht="13.05" customHeight="1">
      <c r="A198" s="8" t="s">
        <v>379</v>
      </c>
      <c r="B198" s="4" t="s">
        <v>81</v>
      </c>
      <c r="C198" s="4" t="s">
        <v>54</v>
      </c>
      <c r="D198" s="4" t="s">
        <v>378</v>
      </c>
      <c r="E198" s="4" t="s">
        <v>44</v>
      </c>
      <c r="F198" s="4" t="s">
        <v>241</v>
      </c>
      <c r="G198" s="4"/>
      <c r="H198" s="4" t="s">
        <v>428</v>
      </c>
      <c r="I198" s="4" t="s">
        <v>47</v>
      </c>
      <c r="J198" s="4"/>
      <c r="K198" s="4" t="s">
        <v>310</v>
      </c>
      <c r="L198" s="4" t="s">
        <v>223</v>
      </c>
      <c r="M198" s="4" t="s">
        <v>304</v>
      </c>
      <c r="N198" s="4"/>
      <c r="O198" s="9"/>
      <c r="P198" s="52"/>
      <c r="R198" s="69" t="str">
        <f t="shared" si="19"/>
        <v>2291</v>
      </c>
      <c r="S198" s="4" t="s">
        <v>1100</v>
      </c>
      <c r="U198" s="62"/>
      <c r="V198" s="63"/>
      <c r="W198" s="75">
        <f t="shared" si="15"/>
        <v>2291</v>
      </c>
      <c r="X198" s="65"/>
      <c r="Y198" s="66">
        <f t="shared" si="18"/>
        <v>0.14930555555555558</v>
      </c>
      <c r="Z198" s="76" t="str">
        <f t="shared" si="17"/>
        <v/>
      </c>
      <c r="AA198" s="77" t="str">
        <f t="shared" si="16"/>
        <v>Alles OK</v>
      </c>
      <c r="AC198" s="2"/>
      <c r="AD198" s="2"/>
      <c r="AE198" s="72" t="str">
        <f t="shared" si="20"/>
        <v/>
      </c>
    </row>
    <row r="199" spans="1:31" ht="13.05" customHeight="1">
      <c r="A199" s="8"/>
      <c r="B199" s="4" t="s">
        <v>41</v>
      </c>
      <c r="C199" s="4" t="s">
        <v>42</v>
      </c>
      <c r="D199" s="4" t="s">
        <v>436</v>
      </c>
      <c r="E199" s="4" t="s">
        <v>47</v>
      </c>
      <c r="F199" s="4" t="s">
        <v>119</v>
      </c>
      <c r="G199" s="4"/>
      <c r="H199" s="4" t="s">
        <v>437</v>
      </c>
      <c r="I199" s="4" t="s">
        <v>26</v>
      </c>
      <c r="J199" s="4"/>
      <c r="K199" s="4" t="s">
        <v>369</v>
      </c>
      <c r="L199" s="4"/>
      <c r="M199" s="4"/>
      <c r="N199" s="4" t="s">
        <v>438</v>
      </c>
      <c r="O199" s="9" t="s">
        <v>43</v>
      </c>
      <c r="P199" s="52"/>
      <c r="R199" s="69">
        <f t="shared" si="19"/>
        <v>0</v>
      </c>
      <c r="U199" s="62"/>
      <c r="V199" s="63"/>
      <c r="W199" s="75">
        <f t="shared" ref="W199:W214" si="21">A199-0</f>
        <v>0</v>
      </c>
      <c r="X199" s="65"/>
      <c r="Y199" s="66">
        <f t="shared" si="18"/>
        <v>0.18611111111111112</v>
      </c>
      <c r="Z199" s="76" t="str">
        <f t="shared" si="17"/>
        <v/>
      </c>
      <c r="AA199" s="77" t="str">
        <f t="shared" ref="AA199:AA214" si="22">IF(OR(M199="",H199=""),"",IF((TIMEVALUE(H199)-TIMEVALUE(M199))&lt;TIME(3,30,0),"Pause zu früh",IF((TIMEVALUE(H199)-TIMEVALUE(M199))&gt;TIME(4,30,0),"Pause zu spät","Alles OK")))</f>
        <v/>
      </c>
      <c r="AC199" s="2"/>
      <c r="AD199" s="2"/>
      <c r="AE199" s="72" t="str">
        <f t="shared" si="20"/>
        <v>08:38</v>
      </c>
    </row>
    <row r="200" spans="1:31" ht="13.05" customHeight="1">
      <c r="A200" s="8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9"/>
      <c r="P200" s="52"/>
      <c r="R200" s="69">
        <f t="shared" si="19"/>
        <v>0</v>
      </c>
      <c r="U200" s="62"/>
      <c r="V200" s="63"/>
      <c r="W200" s="75">
        <f t="shared" si="21"/>
        <v>0</v>
      </c>
      <c r="X200" s="65"/>
      <c r="Y200" s="66">
        <f t="shared" si="18"/>
        <v>0</v>
      </c>
      <c r="Z200" s="76" t="str">
        <f t="shared" ref="Z200:Z214" si="23">IF((Y200-$AB$14)&lt;0,"",(Y200-$AB$14))</f>
        <v/>
      </c>
      <c r="AA200" s="77" t="str">
        <f t="shared" si="22"/>
        <v/>
      </c>
      <c r="AC200" s="2"/>
      <c r="AD200" s="2"/>
      <c r="AE200" s="72" t="str">
        <f t="shared" si="20"/>
        <v/>
      </c>
    </row>
    <row r="201" spans="1:31" ht="13.05" customHeight="1">
      <c r="A201" s="8" t="s">
        <v>369</v>
      </c>
      <c r="B201" s="4" t="s">
        <v>41</v>
      </c>
      <c r="C201" s="4" t="s">
        <v>42</v>
      </c>
      <c r="D201" s="4" t="s">
        <v>317</v>
      </c>
      <c r="E201" s="4" t="s">
        <v>47</v>
      </c>
      <c r="F201" s="4" t="s">
        <v>119</v>
      </c>
      <c r="G201" s="4"/>
      <c r="H201" s="4" t="s">
        <v>436</v>
      </c>
      <c r="I201" s="4" t="s">
        <v>47</v>
      </c>
      <c r="J201" s="4"/>
      <c r="K201" s="4" t="s">
        <v>49</v>
      </c>
      <c r="L201" s="4" t="s">
        <v>379</v>
      </c>
      <c r="M201" s="4" t="s">
        <v>439</v>
      </c>
      <c r="N201" s="4"/>
      <c r="O201" s="9"/>
      <c r="P201" s="52"/>
      <c r="R201" s="69" t="str">
        <f t="shared" si="19"/>
        <v>2292</v>
      </c>
      <c r="S201" s="4" t="s">
        <v>1112</v>
      </c>
      <c r="U201" s="62"/>
      <c r="V201" s="63"/>
      <c r="W201" s="75">
        <f t="shared" si="21"/>
        <v>2292</v>
      </c>
      <c r="X201" s="65"/>
      <c r="Y201" s="66">
        <f t="shared" si="18"/>
        <v>0.16666666666666674</v>
      </c>
      <c r="Z201" s="76" t="str">
        <f t="shared" si="23"/>
        <v/>
      </c>
      <c r="AA201" s="77" t="str">
        <f t="shared" si="22"/>
        <v>Alles OK</v>
      </c>
      <c r="AC201" s="2"/>
      <c r="AD201" s="2"/>
      <c r="AE201" s="72" t="str">
        <f t="shared" si="20"/>
        <v/>
      </c>
    </row>
    <row r="202" spans="1:31" ht="13.05" customHeight="1">
      <c r="A202" s="8"/>
      <c r="B202" s="4" t="s">
        <v>41</v>
      </c>
      <c r="C202" s="4" t="s">
        <v>59</v>
      </c>
      <c r="D202" s="4" t="s">
        <v>440</v>
      </c>
      <c r="E202" s="4" t="s">
        <v>47</v>
      </c>
      <c r="F202" s="4" t="s">
        <v>119</v>
      </c>
      <c r="G202" s="4"/>
      <c r="H202" s="4" t="s">
        <v>441</v>
      </c>
      <c r="I202" s="4" t="s">
        <v>26</v>
      </c>
      <c r="J202" s="4"/>
      <c r="K202" s="4" t="s">
        <v>388</v>
      </c>
      <c r="L202" s="4"/>
      <c r="M202" s="4"/>
      <c r="N202" s="4" t="s">
        <v>442</v>
      </c>
      <c r="O202" s="9" t="s">
        <v>218</v>
      </c>
      <c r="P202" s="52"/>
      <c r="R202" s="69">
        <f t="shared" si="19"/>
        <v>0</v>
      </c>
      <c r="U202" s="62"/>
      <c r="V202" s="63"/>
      <c r="W202" s="75">
        <f t="shared" si="21"/>
        <v>0</v>
      </c>
      <c r="X202" s="65"/>
      <c r="Y202" s="66">
        <f t="shared" si="18"/>
        <v>0.13749999999999996</v>
      </c>
      <c r="Z202" s="76" t="str">
        <f t="shared" si="23"/>
        <v/>
      </c>
      <c r="AA202" s="77" t="str">
        <f t="shared" si="22"/>
        <v/>
      </c>
      <c r="AC202" s="2"/>
      <c r="AD202" s="2"/>
      <c r="AE202" s="72" t="str">
        <f t="shared" si="20"/>
        <v/>
      </c>
    </row>
    <row r="203" spans="1:31" ht="13.05" customHeight="1">
      <c r="A203" s="8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9"/>
      <c r="P203" s="52"/>
      <c r="R203" s="69">
        <f t="shared" si="19"/>
        <v>0</v>
      </c>
      <c r="U203" s="62"/>
      <c r="V203" s="63"/>
      <c r="W203" s="75">
        <f t="shared" si="21"/>
        <v>0</v>
      </c>
      <c r="X203" s="65"/>
      <c r="Y203" s="66">
        <f t="shared" si="18"/>
        <v>0</v>
      </c>
      <c r="Z203" s="76" t="str">
        <f t="shared" si="23"/>
        <v/>
      </c>
      <c r="AA203" s="77" t="str">
        <f t="shared" si="22"/>
        <v/>
      </c>
      <c r="AC203" s="2"/>
      <c r="AD203" s="2"/>
      <c r="AE203" s="72" t="str">
        <f t="shared" si="20"/>
        <v/>
      </c>
    </row>
    <row r="204" spans="1:31" ht="13.05" customHeight="1">
      <c r="A204" s="8" t="s">
        <v>388</v>
      </c>
      <c r="B204" s="4" t="s">
        <v>41</v>
      </c>
      <c r="C204" s="4" t="s">
        <v>59</v>
      </c>
      <c r="D204" s="4" t="s">
        <v>387</v>
      </c>
      <c r="E204" s="4" t="s">
        <v>47</v>
      </c>
      <c r="F204" s="4" t="s">
        <v>119</v>
      </c>
      <c r="G204" s="4"/>
      <c r="H204" s="4" t="s">
        <v>440</v>
      </c>
      <c r="I204" s="4" t="s">
        <v>47</v>
      </c>
      <c r="J204" s="4"/>
      <c r="K204" s="4" t="s">
        <v>63</v>
      </c>
      <c r="L204" s="4" t="s">
        <v>369</v>
      </c>
      <c r="M204" s="4" t="s">
        <v>443</v>
      </c>
      <c r="N204" s="4"/>
      <c r="O204" s="9"/>
      <c r="P204" s="52"/>
      <c r="R204" s="69" t="str">
        <f t="shared" si="19"/>
        <v>2293</v>
      </c>
      <c r="S204" s="4" t="s">
        <v>1112</v>
      </c>
      <c r="U204" s="62"/>
      <c r="V204" s="63"/>
      <c r="W204" s="75">
        <f t="shared" si="21"/>
        <v>2293</v>
      </c>
      <c r="X204" s="65"/>
      <c r="Y204" s="66">
        <f t="shared" si="18"/>
        <v>0.16666666666666674</v>
      </c>
      <c r="Z204" s="76" t="str">
        <f t="shared" si="23"/>
        <v/>
      </c>
      <c r="AA204" s="77" t="str">
        <f t="shared" si="22"/>
        <v>Alles OK</v>
      </c>
      <c r="AC204" s="2"/>
      <c r="AD204" s="2"/>
      <c r="AE204" s="72" t="str">
        <f t="shared" si="20"/>
        <v/>
      </c>
    </row>
    <row r="205" spans="1:31" ht="13.05" customHeight="1">
      <c r="A205" s="8"/>
      <c r="B205" s="4" t="s">
        <v>87</v>
      </c>
      <c r="C205" s="4" t="s">
        <v>88</v>
      </c>
      <c r="D205" s="4" t="s">
        <v>444</v>
      </c>
      <c r="E205" s="4" t="s">
        <v>47</v>
      </c>
      <c r="F205" s="4" t="s">
        <v>132</v>
      </c>
      <c r="G205" s="4"/>
      <c r="H205" s="4" t="s">
        <v>445</v>
      </c>
      <c r="I205" s="4" t="s">
        <v>26</v>
      </c>
      <c r="J205" s="4"/>
      <c r="K205" s="4" t="s">
        <v>402</v>
      </c>
      <c r="L205" s="4"/>
      <c r="M205" s="4"/>
      <c r="N205" s="4" t="s">
        <v>446</v>
      </c>
      <c r="O205" s="9" t="s">
        <v>89</v>
      </c>
      <c r="P205" s="52"/>
      <c r="R205" s="69">
        <f t="shared" si="19"/>
        <v>0</v>
      </c>
      <c r="U205" s="62"/>
      <c r="V205" s="63"/>
      <c r="W205" s="75">
        <f t="shared" si="21"/>
        <v>0</v>
      </c>
      <c r="X205" s="65"/>
      <c r="Y205" s="66">
        <f t="shared" si="18"/>
        <v>0.1465277777777777</v>
      </c>
      <c r="Z205" s="76" t="str">
        <f t="shared" si="23"/>
        <v/>
      </c>
      <c r="AA205" s="77" t="str">
        <f t="shared" si="22"/>
        <v/>
      </c>
      <c r="AC205" s="2"/>
      <c r="AD205" s="2"/>
      <c r="AE205" s="72" t="str">
        <f t="shared" si="20"/>
        <v/>
      </c>
    </row>
    <row r="206" spans="1:31" ht="13.05" customHeight="1">
      <c r="A206" s="8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9"/>
      <c r="P206" s="52"/>
      <c r="R206" s="69">
        <f t="shared" si="19"/>
        <v>0</v>
      </c>
      <c r="U206" s="62"/>
      <c r="V206" s="63"/>
      <c r="W206" s="75">
        <f t="shared" si="21"/>
        <v>0</v>
      </c>
      <c r="X206" s="65"/>
      <c r="Y206" s="66">
        <f t="shared" si="18"/>
        <v>0</v>
      </c>
      <c r="Z206" s="76" t="str">
        <f t="shared" si="23"/>
        <v/>
      </c>
      <c r="AA206" s="77" t="str">
        <f t="shared" si="22"/>
        <v/>
      </c>
      <c r="AC206" s="2"/>
      <c r="AD206" s="2"/>
      <c r="AE206" s="72" t="str">
        <f t="shared" si="20"/>
        <v/>
      </c>
    </row>
    <row r="207" spans="1:31" ht="13.05" customHeight="1">
      <c r="A207" s="8" t="s">
        <v>277</v>
      </c>
      <c r="B207" s="4" t="s">
        <v>105</v>
      </c>
      <c r="C207" s="4" t="s">
        <v>106</v>
      </c>
      <c r="D207" s="4" t="s">
        <v>276</v>
      </c>
      <c r="E207" s="4" t="s">
        <v>36</v>
      </c>
      <c r="F207" s="4" t="s">
        <v>36</v>
      </c>
      <c r="G207" s="4"/>
      <c r="H207" s="4" t="s">
        <v>433</v>
      </c>
      <c r="I207" s="4" t="s">
        <v>36</v>
      </c>
      <c r="J207" s="4"/>
      <c r="K207" s="4" t="s">
        <v>215</v>
      </c>
      <c r="L207" s="4" t="s">
        <v>363</v>
      </c>
      <c r="M207" s="4" t="s">
        <v>447</v>
      </c>
      <c r="N207" s="4"/>
      <c r="O207" s="9"/>
      <c r="P207" s="52"/>
      <c r="R207" s="69" t="str">
        <f t="shared" si="19"/>
        <v>2294</v>
      </c>
      <c r="S207" s="4" t="s">
        <v>1112</v>
      </c>
      <c r="U207" s="62"/>
      <c r="V207" s="63"/>
      <c r="W207" s="75">
        <f t="shared" si="21"/>
        <v>2294</v>
      </c>
      <c r="X207" s="65"/>
      <c r="Y207" s="66">
        <f t="shared" si="18"/>
        <v>0.14583333333333337</v>
      </c>
      <c r="Z207" s="76" t="str">
        <f t="shared" si="23"/>
        <v/>
      </c>
      <c r="AA207" s="77" t="str">
        <f t="shared" si="22"/>
        <v>Alles OK</v>
      </c>
      <c r="AC207" s="2"/>
      <c r="AD207" s="2"/>
      <c r="AE207" s="72" t="str">
        <f t="shared" si="20"/>
        <v/>
      </c>
    </row>
    <row r="208" spans="1:31" ht="13.05" customHeight="1">
      <c r="A208" s="8"/>
      <c r="B208" s="4" t="s">
        <v>33</v>
      </c>
      <c r="C208" s="4" t="s">
        <v>112</v>
      </c>
      <c r="D208" s="4" t="s">
        <v>376</v>
      </c>
      <c r="E208" s="4" t="s">
        <v>36</v>
      </c>
      <c r="F208" s="4" t="s">
        <v>36</v>
      </c>
      <c r="G208" s="4"/>
      <c r="H208" s="4" t="s">
        <v>448</v>
      </c>
      <c r="I208" s="4" t="s">
        <v>26</v>
      </c>
      <c r="J208" s="4"/>
      <c r="K208" s="4" t="s">
        <v>147</v>
      </c>
      <c r="L208" s="4"/>
      <c r="M208" s="4"/>
      <c r="N208" s="4" t="s">
        <v>449</v>
      </c>
      <c r="O208" s="9" t="s">
        <v>65</v>
      </c>
      <c r="P208" s="52"/>
      <c r="R208" s="69">
        <f t="shared" si="19"/>
        <v>0</v>
      </c>
      <c r="U208" s="62"/>
      <c r="V208" s="63"/>
      <c r="W208" s="75">
        <f t="shared" si="21"/>
        <v>0</v>
      </c>
      <c r="X208" s="65"/>
      <c r="Y208" s="66">
        <f t="shared" si="18"/>
        <v>0.17777777777777781</v>
      </c>
      <c r="Z208" s="76" t="str">
        <f t="shared" si="23"/>
        <v/>
      </c>
      <c r="AA208" s="77" t="str">
        <f t="shared" si="22"/>
        <v/>
      </c>
      <c r="AC208" s="2"/>
      <c r="AD208" s="2"/>
      <c r="AE208" s="72" t="str">
        <f t="shared" si="20"/>
        <v/>
      </c>
    </row>
    <row r="209" spans="1:31" ht="13.05" customHeight="1">
      <c r="A209" s="8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9"/>
      <c r="P209" s="52"/>
      <c r="R209" s="69">
        <f t="shared" si="19"/>
        <v>0</v>
      </c>
      <c r="U209" s="62"/>
      <c r="V209" s="63"/>
      <c r="W209" s="75">
        <f t="shared" si="21"/>
        <v>0</v>
      </c>
      <c r="X209" s="65"/>
      <c r="Y209" s="66">
        <f t="shared" si="18"/>
        <v>0</v>
      </c>
      <c r="Z209" s="76" t="str">
        <f t="shared" si="23"/>
        <v/>
      </c>
      <c r="AA209" s="77" t="str">
        <f t="shared" si="22"/>
        <v/>
      </c>
      <c r="AC209" s="2"/>
      <c r="AD209" s="2"/>
      <c r="AE209" s="72" t="str">
        <f t="shared" si="20"/>
        <v/>
      </c>
    </row>
    <row r="210" spans="1:31" ht="13.05" customHeight="1">
      <c r="A210" s="8" t="s">
        <v>402</v>
      </c>
      <c r="B210" s="4" t="s">
        <v>87</v>
      </c>
      <c r="C210" s="4" t="s">
        <v>88</v>
      </c>
      <c r="D210" s="4" t="s">
        <v>401</v>
      </c>
      <c r="E210" s="4" t="s">
        <v>44</v>
      </c>
      <c r="F210" s="4" t="s">
        <v>90</v>
      </c>
      <c r="G210" s="4"/>
      <c r="H210" s="4" t="s">
        <v>444</v>
      </c>
      <c r="I210" s="4" t="s">
        <v>47</v>
      </c>
      <c r="J210" s="4"/>
      <c r="K210" s="4" t="s">
        <v>238</v>
      </c>
      <c r="L210" s="4" t="s">
        <v>388</v>
      </c>
      <c r="M210" s="4" t="s">
        <v>450</v>
      </c>
      <c r="N210" s="4"/>
      <c r="O210" s="9"/>
      <c r="P210" s="52"/>
      <c r="R210" s="69" t="str">
        <f t="shared" si="19"/>
        <v>2295</v>
      </c>
      <c r="S210" s="4" t="s">
        <v>1112</v>
      </c>
      <c r="U210" s="62"/>
      <c r="V210" s="63"/>
      <c r="W210" s="75">
        <f t="shared" si="21"/>
        <v>2295</v>
      </c>
      <c r="X210" s="65"/>
      <c r="Y210" s="66">
        <f t="shared" si="18"/>
        <v>0.17847222222222225</v>
      </c>
      <c r="Z210" s="76" t="str">
        <f t="shared" si="23"/>
        <v/>
      </c>
      <c r="AA210" s="77" t="str">
        <f t="shared" si="22"/>
        <v>Alles OK</v>
      </c>
      <c r="AC210" s="2"/>
      <c r="AD210" s="2"/>
      <c r="AE210" s="72" t="str">
        <f t="shared" si="20"/>
        <v/>
      </c>
    </row>
    <row r="211" spans="1:31" ht="13.05" customHeight="1">
      <c r="A211" s="8"/>
      <c r="B211" s="4" t="s">
        <v>81</v>
      </c>
      <c r="C211" s="4" t="s">
        <v>151</v>
      </c>
      <c r="D211" s="4" t="s">
        <v>424</v>
      </c>
      <c r="E211" s="4" t="s">
        <v>44</v>
      </c>
      <c r="F211" s="4" t="s">
        <v>241</v>
      </c>
      <c r="G211" s="4"/>
      <c r="H211" s="4" t="s">
        <v>451</v>
      </c>
      <c r="I211" s="4" t="s">
        <v>26</v>
      </c>
      <c r="J211" s="4"/>
      <c r="K211" s="4" t="s">
        <v>253</v>
      </c>
      <c r="L211" s="4"/>
      <c r="M211" s="4"/>
      <c r="N211" s="4" t="s">
        <v>452</v>
      </c>
      <c r="O211" s="9" t="s">
        <v>453</v>
      </c>
      <c r="P211" s="52"/>
      <c r="R211" s="69">
        <f t="shared" si="19"/>
        <v>0</v>
      </c>
      <c r="U211" s="62"/>
      <c r="V211" s="63"/>
      <c r="W211" s="75">
        <f t="shared" si="21"/>
        <v>0</v>
      </c>
      <c r="X211" s="65"/>
      <c r="Y211" s="66">
        <f t="shared" si="18"/>
        <v>0.10069444444444442</v>
      </c>
      <c r="Z211" s="76" t="str">
        <f t="shared" si="23"/>
        <v/>
      </c>
      <c r="AA211" s="77" t="str">
        <f t="shared" si="22"/>
        <v/>
      </c>
      <c r="AC211" s="2"/>
      <c r="AD211" s="2"/>
      <c r="AE211" s="72" t="str">
        <f t="shared" si="20"/>
        <v/>
      </c>
    </row>
    <row r="212" spans="1:31" ht="13.05" customHeight="1">
      <c r="A212" s="8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9"/>
      <c r="P212" s="52"/>
      <c r="R212" s="69">
        <f t="shared" si="19"/>
        <v>0</v>
      </c>
      <c r="U212" s="62"/>
      <c r="V212" s="63"/>
      <c r="W212" s="75">
        <f t="shared" si="21"/>
        <v>0</v>
      </c>
      <c r="X212" s="65"/>
      <c r="Y212" s="66">
        <f t="shared" si="18"/>
        <v>0</v>
      </c>
      <c r="Z212" s="76" t="str">
        <f t="shared" si="23"/>
        <v/>
      </c>
      <c r="AA212" s="77" t="str">
        <f t="shared" si="22"/>
        <v/>
      </c>
      <c r="AC212" s="2"/>
      <c r="AD212" s="2"/>
      <c r="AE212" s="72" t="str">
        <f t="shared" si="20"/>
        <v/>
      </c>
    </row>
    <row r="213" spans="1:31" ht="13.05" customHeight="1">
      <c r="A213" s="8" t="s">
        <v>454</v>
      </c>
      <c r="B213" s="4" t="s">
        <v>33</v>
      </c>
      <c r="C213" s="4" t="s">
        <v>455</v>
      </c>
      <c r="D213" s="4" t="s">
        <v>456</v>
      </c>
      <c r="E213" s="4" t="s">
        <v>26</v>
      </c>
      <c r="F213" s="4" t="s">
        <v>36</v>
      </c>
      <c r="G213" s="4"/>
      <c r="H213" s="4" t="s">
        <v>457</v>
      </c>
      <c r="I213" s="4" t="s">
        <v>69</v>
      </c>
      <c r="J213" s="4"/>
      <c r="K213" s="4"/>
      <c r="L213" s="4"/>
      <c r="M213" s="4" t="s">
        <v>458</v>
      </c>
      <c r="N213" s="4"/>
      <c r="O213" s="9"/>
      <c r="P213" s="52"/>
      <c r="R213" s="69" t="str">
        <f t="shared" si="19"/>
        <v>2299</v>
      </c>
      <c r="S213" s="4" t="s">
        <v>1112</v>
      </c>
      <c r="U213" s="62"/>
      <c r="V213" s="63"/>
      <c r="W213" s="75">
        <f t="shared" si="21"/>
        <v>2299</v>
      </c>
      <c r="X213" s="65"/>
      <c r="Y213" s="66">
        <f t="shared" si="18"/>
        <v>0.22777777777777775</v>
      </c>
      <c r="Z213" s="76">
        <f t="shared" si="23"/>
        <v>4.0277777777777746E-2</v>
      </c>
      <c r="AA213" s="77" t="str">
        <f t="shared" si="22"/>
        <v>Pause zu früh</v>
      </c>
      <c r="AC213" s="2"/>
      <c r="AD213" s="2"/>
      <c r="AE213" s="72" t="str">
        <f t="shared" si="20"/>
        <v/>
      </c>
    </row>
    <row r="214" spans="1:31" ht="13.05" customHeight="1">
      <c r="A214" s="5"/>
      <c r="B214" s="6" t="s">
        <v>459</v>
      </c>
      <c r="C214" s="6"/>
      <c r="D214" s="6" t="s">
        <v>457</v>
      </c>
      <c r="E214" s="6" t="s">
        <v>69</v>
      </c>
      <c r="F214" s="6"/>
      <c r="G214" s="6"/>
      <c r="H214" s="6" t="s">
        <v>1065</v>
      </c>
      <c r="I214" s="6" t="s">
        <v>26</v>
      </c>
      <c r="J214" s="6"/>
      <c r="K214" s="6"/>
      <c r="L214" s="6"/>
      <c r="M214" s="6"/>
      <c r="N214" s="6" t="s">
        <v>460</v>
      </c>
      <c r="O214" s="7" t="s">
        <v>461</v>
      </c>
      <c r="P214" s="52"/>
      <c r="R214" s="69">
        <f t="shared" si="19"/>
        <v>0</v>
      </c>
      <c r="U214" s="62"/>
      <c r="V214" s="63"/>
      <c r="W214" s="75">
        <f t="shared" si="21"/>
        <v>0</v>
      </c>
      <c r="X214" s="65"/>
      <c r="Y214" s="66">
        <f t="shared" si="18"/>
        <v>4.8611111111111105E-2</v>
      </c>
      <c r="Z214" s="76" t="str">
        <f t="shared" si="23"/>
        <v/>
      </c>
      <c r="AA214" s="77" t="str">
        <f t="shared" si="22"/>
        <v/>
      </c>
      <c r="AC214" s="2"/>
      <c r="AD214" s="2"/>
      <c r="AE214" s="72" t="str">
        <f t="shared" si="20"/>
        <v/>
      </c>
    </row>
    <row r="215" spans="1:31">
      <c r="P215" s="52"/>
      <c r="R215" s="80">
        <f>W215</f>
        <v>61</v>
      </c>
      <c r="V215" s="81"/>
      <c r="W215" s="80">
        <f>COUNTIF(W7:W214,"&gt;0")</f>
        <v>61</v>
      </c>
      <c r="X215" s="82">
        <f>SUM(X2:X214)</f>
        <v>0</v>
      </c>
      <c r="AE215" s="72" t="str">
        <f t="shared" ref="AE215" si="24">IF(O215&gt;="08:31",O215,"")</f>
        <v/>
      </c>
    </row>
    <row r="216" spans="1:31">
      <c r="S216" s="82">
        <f>SUM(X2:X214)</f>
        <v>0</v>
      </c>
      <c r="T216" s="84" t="s">
        <v>1086</v>
      </c>
      <c r="U216" s="85">
        <f>SUM(U4:U214)</f>
        <v>0</v>
      </c>
      <c r="V216" s="81" t="s">
        <v>1087</v>
      </c>
      <c r="W216" s="86">
        <f>COUNTIF(V2:V214,V216)</f>
        <v>0</v>
      </c>
    </row>
    <row r="217" spans="1:31" ht="27">
      <c r="A217" s="87" t="s">
        <v>1088</v>
      </c>
      <c r="B217" s="53">
        <f>W215</f>
        <v>61</v>
      </c>
      <c r="S217" s="88" t="s">
        <v>1089</v>
      </c>
      <c r="U217" s="89"/>
      <c r="V217" s="81" t="s">
        <v>1090</v>
      </c>
      <c r="W217" s="86">
        <f>COUNTIF(V2:V214,V217)</f>
        <v>0</v>
      </c>
      <c r="AE217" s="90" cm="1">
        <f t="array" ref="AE217">SUMPRODUCT((IFERROR(VALUE(AE2:AE214),-1)&gt;TIMEVALUE("08:30"))*(IFERROR(VALUE(O2:O214),-1)&lt;&gt;-1))</f>
        <v>3</v>
      </c>
    </row>
    <row r="218" spans="1:31" ht="66">
      <c r="A218" s="91" t="s">
        <v>1091</v>
      </c>
      <c r="B218" s="92">
        <f>AE217</f>
        <v>3</v>
      </c>
      <c r="C218" s="93">
        <f>B218-2</f>
        <v>1</v>
      </c>
      <c r="D218" s="94" t="s">
        <v>1092</v>
      </c>
      <c r="V218" s="81" t="s">
        <v>1093</v>
      </c>
      <c r="W218" s="86">
        <f>COUNTIF(V4:V216,V218)</f>
        <v>0</v>
      </c>
    </row>
    <row r="219" spans="1:31" ht="39.6">
      <c r="A219" s="91" t="s">
        <v>1094</v>
      </c>
      <c r="B219" s="92">
        <f>C219-D219</f>
        <v>4</v>
      </c>
      <c r="C219" s="95">
        <f>COUNTIF(Y2:Y214,"&gt;=04:31")</f>
        <v>8</v>
      </c>
      <c r="D219" s="95">
        <f>COUNTIF(Y2:Y214,"&gt;=06:15")</f>
        <v>4</v>
      </c>
      <c r="V219" s="81" t="s">
        <v>1095</v>
      </c>
      <c r="W219" s="86">
        <f>COUNTIF(V4:V214,V219)</f>
        <v>0</v>
      </c>
    </row>
    <row r="220" spans="1:31">
      <c r="J220" s="96" t="s">
        <v>1096</v>
      </c>
      <c r="K220" s="96" t="s">
        <v>1097</v>
      </c>
      <c r="S220" s="97" t="s">
        <v>1098</v>
      </c>
      <c r="V220" s="81" t="s">
        <v>1099</v>
      </c>
      <c r="W220" s="86">
        <f>COUNTIF(V4:V214,V220)</f>
        <v>0</v>
      </c>
    </row>
    <row r="221" spans="1:31">
      <c r="J221" s="98" t="s">
        <v>1116</v>
      </c>
      <c r="K221" s="127" t="s">
        <v>417</v>
      </c>
      <c r="S221" s="99" t="s">
        <v>1100</v>
      </c>
      <c r="T221" s="100" t="s">
        <v>1101</v>
      </c>
      <c r="V221" s="81" t="s">
        <v>1102</v>
      </c>
      <c r="W221" s="86">
        <f>COUNTIF(V4:V214,V221)</f>
        <v>0</v>
      </c>
    </row>
    <row r="222" spans="1:31">
      <c r="S222" s="101" t="s">
        <v>1103</v>
      </c>
      <c r="T222" s="101" t="s">
        <v>1104</v>
      </c>
      <c r="V222" s="81" t="s">
        <v>1105</v>
      </c>
      <c r="W222" s="86">
        <f>COUNTIF(V4:V214,V222)</f>
        <v>0</v>
      </c>
    </row>
    <row r="223" spans="1:31">
      <c r="V223" s="81" t="s">
        <v>1106</v>
      </c>
      <c r="W223" s="86">
        <f>COUNTIF(V4:V214,V223)</f>
        <v>0</v>
      </c>
    </row>
    <row r="224" spans="1:31">
      <c r="V224" s="81" t="s">
        <v>1107</v>
      </c>
      <c r="W224" s="86">
        <f>COUNTIF(V4:V214,V224)</f>
        <v>0</v>
      </c>
    </row>
    <row r="225" spans="22:25">
      <c r="V225" s="81" t="s">
        <v>1108</v>
      </c>
      <c r="W225" s="86">
        <f>COUNTIF(V4:V214,V225)</f>
        <v>0</v>
      </c>
    </row>
    <row r="227" spans="22:25" ht="26.4">
      <c r="V227" s="102" t="s">
        <v>1109</v>
      </c>
      <c r="W227" s="103" t="s">
        <v>1110</v>
      </c>
      <c r="Y227" s="102" t="s">
        <v>1111</v>
      </c>
    </row>
    <row r="228" spans="22:25" ht="15.6">
      <c r="V228" s="104">
        <v>1</v>
      </c>
      <c r="W228" s="105" t="s">
        <v>1112</v>
      </c>
      <c r="Y228" s="106" t="s">
        <v>1087</v>
      </c>
    </row>
    <row r="229" spans="22:25" ht="15.6">
      <c r="V229" s="104"/>
      <c r="W229" s="107" t="s">
        <v>1100</v>
      </c>
      <c r="Y229" s="106" t="s">
        <v>1090</v>
      </c>
    </row>
    <row r="230" spans="22:25" ht="15.6">
      <c r="V230" s="104"/>
      <c r="W230" s="108" t="s">
        <v>1103</v>
      </c>
      <c r="Y230" s="106" t="s">
        <v>1093</v>
      </c>
    </row>
    <row r="231" spans="22:25" ht="15.6">
      <c r="W231" s="109"/>
      <c r="Y231" s="106" t="s">
        <v>1107</v>
      </c>
    </row>
    <row r="232" spans="22:25" ht="15.6">
      <c r="Y232" s="106" t="s">
        <v>1108</v>
      </c>
    </row>
    <row r="233" spans="22:25" ht="15.6">
      <c r="Y233" s="106" t="s">
        <v>1095</v>
      </c>
    </row>
    <row r="234" spans="22:25" ht="15.6">
      <c r="Y234" s="106" t="s">
        <v>1099</v>
      </c>
    </row>
    <row r="235" spans="22:25" ht="15.6">
      <c r="Y235" s="106" t="s">
        <v>1102</v>
      </c>
    </row>
    <row r="236" spans="22:25" ht="15.6">
      <c r="Y236" s="106" t="s">
        <v>1105</v>
      </c>
    </row>
    <row r="237" spans="22:25" ht="15.6">
      <c r="Y237" s="106" t="s">
        <v>1106</v>
      </c>
    </row>
    <row r="238" spans="22:25">
      <c r="Y238" s="109"/>
    </row>
    <row r="248" spans="27:31">
      <c r="AA248" s="110"/>
      <c r="AC248" s="2"/>
      <c r="AD248" s="2"/>
      <c r="AE248" s="111"/>
    </row>
    <row r="249" spans="27:31">
      <c r="AA249" s="110"/>
      <c r="AC249" s="2"/>
      <c r="AD249" s="2"/>
      <c r="AE249" s="111"/>
    </row>
    <row r="250" spans="27:31">
      <c r="AA250" s="110"/>
      <c r="AC250" s="2"/>
      <c r="AD250" s="2"/>
      <c r="AE250" s="111"/>
    </row>
    <row r="252" spans="27:31">
      <c r="AB252" s="2"/>
    </row>
    <row r="253" spans="27:31">
      <c r="AB253" s="2"/>
    </row>
    <row r="254" spans="27:31">
      <c r="AB254" s="2"/>
    </row>
  </sheetData>
  <mergeCells count="17">
    <mergeCell ref="A148:D148"/>
    <mergeCell ref="E148:L148"/>
    <mergeCell ref="M148:O148"/>
    <mergeCell ref="A146:D146"/>
    <mergeCell ref="E146:M146"/>
    <mergeCell ref="A74:D74"/>
    <mergeCell ref="E74:M74"/>
    <mergeCell ref="A76:D76"/>
    <mergeCell ref="E76:L76"/>
    <mergeCell ref="M76:O76"/>
    <mergeCell ref="A1:D1"/>
    <mergeCell ref="E1:M1"/>
    <mergeCell ref="Z1:Z6"/>
    <mergeCell ref="AA1:AA6"/>
    <mergeCell ref="A3:D3"/>
    <mergeCell ref="E3:L3"/>
    <mergeCell ref="M3:O3"/>
  </mergeCells>
  <conditionalFormatting sqref="B1:B91 B215:B1048484">
    <cfRule type="expression" dxfId="39" priority="7" stopIfTrue="1">
      <formula>AND($Y5&gt;$AB$14,$Y5&lt;$AB$15)</formula>
    </cfRule>
  </conditionalFormatting>
  <conditionalFormatting sqref="B92:B119">
    <cfRule type="expression" dxfId="38" priority="9" stopIfTrue="1">
      <formula>AND($Y154&gt;$AB$14,$Y154&lt;$AB$15)</formula>
    </cfRule>
  </conditionalFormatting>
  <conditionalFormatting sqref="B120:B124 B149:B199">
    <cfRule type="expression" dxfId="37" priority="10" stopIfTrue="1">
      <formula>AND(#REF!&gt;$AB$14,#REF!&lt;$AB$15)</formula>
    </cfRule>
  </conditionalFormatting>
  <conditionalFormatting sqref="B125:B148">
    <cfRule type="expression" dxfId="36" priority="8" stopIfTrue="1">
      <formula>AND($Y158&gt;$AB$14,$Y158&lt;$AB$15)</formula>
    </cfRule>
  </conditionalFormatting>
  <conditionalFormatting sqref="B200:B214">
    <cfRule type="expression" dxfId="35" priority="61" stopIfTrue="1">
      <formula>AND($Y215&gt;$AB$14,$Y215&lt;$AB$15)</formula>
    </cfRule>
  </conditionalFormatting>
  <conditionalFormatting sqref="B1048485:B1048576">
    <cfRule type="expression" dxfId="34" priority="53" stopIfTrue="1">
      <formula>AND($Y1&gt;$AB$14,$Y1&lt;$AB$15)</formula>
    </cfRule>
  </conditionalFormatting>
  <conditionalFormatting sqref="B1:H214">
    <cfRule type="expression" dxfId="33" priority="5">
      <formula>AND(($H1-$D1+($H1&lt;$D1))&gt;TIMEVALUE("4:31"),($H1-$D1+($H1&lt;$D1))&lt;TIMEVALUE("6:10"))</formula>
    </cfRule>
  </conditionalFormatting>
  <conditionalFormatting sqref="C218">
    <cfRule type="cellIs" dxfId="32" priority="23" operator="lessThanOrEqual">
      <formula>1</formula>
    </cfRule>
    <cfRule type="cellIs" dxfId="31" priority="24" operator="greaterThanOrEqual">
      <formula>2</formula>
    </cfRule>
  </conditionalFormatting>
  <conditionalFormatting sqref="O1:O214">
    <cfRule type="cellIs" dxfId="30" priority="6" operator="greaterThan">
      <formula>$AB$9</formula>
    </cfRule>
  </conditionalFormatting>
  <conditionalFormatting sqref="P1:P89">
    <cfRule type="expression" dxfId="29" priority="25" stopIfTrue="1">
      <formula>AND(Y7&gt;$AC$14,Y7&lt;$AC$15)</formula>
    </cfRule>
  </conditionalFormatting>
  <conditionalFormatting sqref="P1:P216 T2:T214">
    <cfRule type="expression" dxfId="28" priority="30">
      <formula>AND(U1&gt;TIMEVALUE("4:30"),U1&lt;TIMEVALUE("06:30"))</formula>
    </cfRule>
  </conditionalFormatting>
  <conditionalFormatting sqref="P90:P93">
    <cfRule type="expression" dxfId="27" priority="50" stopIfTrue="1">
      <formula>AND(Y154&gt;$AC$14,Y154&lt;$AC$15)</formula>
    </cfRule>
  </conditionalFormatting>
  <conditionalFormatting sqref="P94:P98 P125:P127">
    <cfRule type="expression" dxfId="26" priority="68" stopIfTrue="1">
      <formula>AND(#REF!&gt;$AC$14,#REF!&lt;$AC$15)</formula>
    </cfRule>
  </conditionalFormatting>
  <conditionalFormatting sqref="P99:P124">
    <cfRule type="expression" dxfId="25" priority="69" stopIfTrue="1">
      <formula>AND(Y215&gt;$AC$14,Y215&lt;$AC$15)</formula>
    </cfRule>
  </conditionalFormatting>
  <conditionalFormatting sqref="P128:P153">
    <cfRule type="expression" dxfId="24" priority="71" stopIfTrue="1">
      <formula>AND(Y215&gt;$AC$14,Y215&lt;$AC$15)</formula>
    </cfRule>
  </conditionalFormatting>
  <conditionalFormatting sqref="P154:P214">
    <cfRule type="expression" dxfId="23" priority="45" stopIfTrue="1">
      <formula>AND(#REF!&gt;$AC$14,#REF!&lt;$AC$15)</formula>
    </cfRule>
  </conditionalFormatting>
  <conditionalFormatting sqref="R2:R214">
    <cfRule type="containsText" dxfId="22" priority="29" operator="containsText" text="MICROBUS - Dienstdatei">
      <formula>NOT(ISERROR(SEARCH("MICROBUS - Dienstdatei",R2)))</formula>
    </cfRule>
    <cfRule type="containsText" dxfId="21" priority="28" operator="containsText" text="Jenaer Nahverkehrs-GmbH">
      <formula>NOT(ISERROR(SEARCH("Jenaer Nahverkehrs-GmbH",R2)))</formula>
    </cfRule>
  </conditionalFormatting>
  <conditionalFormatting sqref="R4:R214">
    <cfRule type="containsErrors" dxfId="20" priority="37">
      <formula>ISERROR(R4)</formula>
    </cfRule>
    <cfRule type="cellIs" dxfId="19" priority="38" operator="lessThan">
      <formula>1</formula>
    </cfRule>
    <cfRule type="cellIs" dxfId="18" priority="39" operator="greaterThan">
      <formula>0</formula>
    </cfRule>
  </conditionalFormatting>
  <conditionalFormatting sqref="S4:S214">
    <cfRule type="containsText" dxfId="17" priority="32" operator="containsText" text="Verstoß">
      <formula>NOT(ISERROR(SEARCH("Verstoß",S4)))</formula>
    </cfRule>
    <cfRule type="containsText" dxfId="16" priority="33" operator="containsText" text="Belastung">
      <formula>NOT(ISERROR(SEARCH("Belastung",S4)))</formula>
    </cfRule>
    <cfRule type="containsText" dxfId="15" priority="34" operator="containsText" text="Ok">
      <formula>NOT(ISERROR(SEARCH("Ok",S4)))</formula>
    </cfRule>
  </conditionalFormatting>
  <conditionalFormatting sqref="T16:T48">
    <cfRule type="expression" dxfId="14" priority="31">
      <formula>AND(Y16&gt;$AC$14,Y16&lt;$AC$15)</formula>
    </cfRule>
  </conditionalFormatting>
  <conditionalFormatting sqref="W7:W214">
    <cfRule type="containsErrors" dxfId="13" priority="20">
      <formula>ISERROR(W7)</formula>
    </cfRule>
    <cfRule type="cellIs" dxfId="12" priority="21" operator="lessThan">
      <formula>1</formula>
    </cfRule>
    <cfRule type="cellIs" dxfId="11" priority="22" operator="greaterThan">
      <formula>0</formula>
    </cfRule>
  </conditionalFormatting>
  <conditionalFormatting sqref="Y2:Y214">
    <cfRule type="cellIs" dxfId="10" priority="35" operator="lessThan">
      <formula>0.1875</formula>
    </cfRule>
    <cfRule type="containsErrors" dxfId="9" priority="36">
      <formula>ISERROR(Y2)</formula>
    </cfRule>
    <cfRule type="cellIs" dxfId="8" priority="40" operator="lessThan">
      <formula>0.166666666666667</formula>
    </cfRule>
    <cfRule type="cellIs" dxfId="7" priority="41" operator="greaterThan">
      <formula>0.186805555555556</formula>
    </cfRule>
    <cfRule type="cellIs" dxfId="6" priority="42" operator="greaterThan">
      <formula>0.1875</formula>
    </cfRule>
  </conditionalFormatting>
  <conditionalFormatting sqref="Z7:Z214">
    <cfRule type="containsText" dxfId="5" priority="27" operator="containsText" text="00:00:00">
      <formula>NOT(ISERROR(SEARCH("00:00:00",Z7)))</formula>
    </cfRule>
    <cfRule type="containsErrors" dxfId="4" priority="26">
      <formula>ISERROR(Z7)</formula>
    </cfRule>
  </conditionalFormatting>
  <conditionalFormatting sqref="AA7:AA214">
    <cfRule type="containsErrors" dxfId="3" priority="2">
      <formula>ISERROR(AA7)</formula>
    </cfRule>
    <cfRule type="containsText" dxfId="2" priority="3" operator="containsText" text="Pause zu früh">
      <formula>NOT(ISERROR(SEARCH("Pause zu früh",AA7)))</formula>
    </cfRule>
    <cfRule type="containsText" dxfId="1" priority="4" operator="containsText" text="Pause zu spät">
      <formula>NOT(ISERROR(SEARCH("Pause zu spät",AA7)))</formula>
    </cfRule>
    <cfRule type="containsText" dxfId="0" priority="1" operator="containsText" text="Alles OK">
      <formula>NOT(ISERROR(SEARCH("Alles OK",AA7)))</formula>
    </cfRule>
  </conditionalFormatting>
  <dataValidations count="3">
    <dataValidation type="list" allowBlank="1" showInputMessage="1" showErrorMessage="1" sqref="X2:X214 U2:U214" xr:uid="{BE71F830-782F-434E-9A2D-B4998BEE14B2}">
      <formula1>$V$228:$V$229</formula1>
    </dataValidation>
    <dataValidation type="list" allowBlank="1" showInputMessage="1" showErrorMessage="1" sqref="S4:S214" xr:uid="{45649111-0749-4BD3-ADFC-542D3E5C7A00}">
      <formula1>$W$228:$W$231</formula1>
    </dataValidation>
    <dataValidation type="list" allowBlank="1" showInputMessage="1" showErrorMessage="1" sqref="V2:V214" xr:uid="{C971EDA8-ACC6-4B5B-B8DE-9AB18379CBC8}">
      <formula1>$Y$228:$Y$238</formula1>
    </dataValidation>
  </dataValidations>
  <pageMargins left="0.25" right="0.25" top="0.75" bottom="0.75" header="0.3" footer="0.3"/>
  <pageSetup paperSize="9" scale="28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A62FB-3ADE-424A-AB73-291C66E8C9C9}">
  <sheetPr>
    <pageSetUpPr fitToPage="1"/>
  </sheetPr>
  <dimension ref="A1:AD194"/>
  <sheetViews>
    <sheetView view="pageBreakPreview" topLeftCell="B158" zoomScale="60" zoomScaleNormal="100" workbookViewId="0">
      <selection activeCell="B2" sqref="A1:XFD1048576"/>
    </sheetView>
  </sheetViews>
  <sheetFormatPr baseColWidth="10" defaultColWidth="11.44140625" defaultRowHeight="10.199999999999999"/>
  <cols>
    <col min="1" max="1" width="2.109375" style="13" hidden="1" customWidth="1"/>
    <col min="2" max="6" width="6" style="11" bestFit="1" customWidth="1"/>
    <col min="7" max="8" width="4.88671875" style="11" bestFit="1" customWidth="1"/>
    <col min="9" max="9" width="4.5546875" style="12" bestFit="1" customWidth="1"/>
    <col min="10" max="10" width="5.6640625" style="11" bestFit="1" customWidth="1"/>
    <col min="11" max="11" width="4.44140625" style="11" bestFit="1" customWidth="1"/>
    <col min="12" max="12" width="5.6640625" style="11" bestFit="1" customWidth="1"/>
    <col min="13" max="13" width="5.6640625" style="12" bestFit="1" customWidth="1"/>
    <col min="14" max="15" width="4.44140625" style="11" bestFit="1" customWidth="1"/>
    <col min="16" max="16" width="21.33203125" style="11" bestFit="1" customWidth="1"/>
    <col min="17" max="20" width="4.44140625" style="11" bestFit="1" customWidth="1"/>
    <col min="21" max="21" width="5.33203125" style="11" bestFit="1" customWidth="1"/>
    <col min="22" max="22" width="5.6640625" style="11" bestFit="1" customWidth="1"/>
    <col min="23" max="23" width="6.5546875" style="11" bestFit="1" customWidth="1"/>
    <col min="24" max="28" width="5.6640625" style="11" bestFit="1" customWidth="1"/>
    <col min="29" max="30" width="4.88671875" style="11" customWidth="1"/>
    <col min="31" max="16384" width="11.44140625" style="11"/>
  </cols>
  <sheetData>
    <row r="1" spans="1:30" hidden="1">
      <c r="A1" s="13">
        <v>26</v>
      </c>
      <c r="B1" s="11" t="s">
        <v>1063</v>
      </c>
      <c r="C1" s="11" t="s">
        <v>1063</v>
      </c>
      <c r="D1" s="11" t="s">
        <v>1063</v>
      </c>
      <c r="E1" s="11" t="s">
        <v>1063</v>
      </c>
      <c r="F1" s="11" t="s">
        <v>1063</v>
      </c>
      <c r="G1" s="39" t="s">
        <v>1062</v>
      </c>
      <c r="H1" s="39" t="s">
        <v>1062</v>
      </c>
      <c r="I1" s="12" t="s">
        <v>1061</v>
      </c>
      <c r="J1" s="39" t="s">
        <v>1056</v>
      </c>
      <c r="K1" s="39" t="s">
        <v>1059</v>
      </c>
      <c r="L1" s="39" t="s">
        <v>1056</v>
      </c>
      <c r="M1" s="40" t="s">
        <v>1056</v>
      </c>
      <c r="N1" s="39" t="s">
        <v>1059</v>
      </c>
      <c r="O1" s="39" t="s">
        <v>1059</v>
      </c>
      <c r="P1" s="11" t="s">
        <v>1060</v>
      </c>
      <c r="Q1" s="39" t="s">
        <v>1059</v>
      </c>
      <c r="R1" s="39" t="s">
        <v>1059</v>
      </c>
      <c r="S1" s="39" t="s">
        <v>1059</v>
      </c>
      <c r="T1" s="39" t="s">
        <v>1059</v>
      </c>
      <c r="U1" s="39" t="s">
        <v>1058</v>
      </c>
      <c r="V1" s="39" t="s">
        <v>1056</v>
      </c>
      <c r="W1" s="39" t="s">
        <v>1057</v>
      </c>
      <c r="X1" s="39" t="s">
        <v>1056</v>
      </c>
      <c r="Y1" s="39" t="s">
        <v>1056</v>
      </c>
      <c r="Z1" s="39" t="s">
        <v>1056</v>
      </c>
      <c r="AA1" s="39" t="s">
        <v>1056</v>
      </c>
      <c r="AB1" s="39" t="s">
        <v>1056</v>
      </c>
      <c r="AC1" s="39" t="s">
        <v>1056</v>
      </c>
      <c r="AD1" s="39" t="s">
        <v>1056</v>
      </c>
    </row>
    <row r="2" spans="1:30" s="35" customFormat="1">
      <c r="A2" s="37">
        <v>26</v>
      </c>
      <c r="B2" s="35" t="s">
        <v>1055</v>
      </c>
      <c r="I2" s="38"/>
      <c r="J2" s="35" t="s">
        <v>1054</v>
      </c>
      <c r="K2" s="11"/>
      <c r="M2" s="37"/>
      <c r="R2" s="36" t="s">
        <v>1053</v>
      </c>
      <c r="S2" s="35" t="s">
        <v>1052</v>
      </c>
      <c r="W2" s="36"/>
      <c r="Y2" s="36"/>
      <c r="Z2" s="36"/>
    </row>
    <row r="3" spans="1:30">
      <c r="B3" s="11" t="s">
        <v>1051</v>
      </c>
      <c r="M3" s="37" t="s">
        <v>1067</v>
      </c>
      <c r="R3" s="34" t="s">
        <v>1050</v>
      </c>
      <c r="S3" s="11" t="s">
        <v>1066</v>
      </c>
      <c r="W3" s="34"/>
      <c r="Y3" s="34"/>
      <c r="Z3" s="34"/>
    </row>
    <row r="4" spans="1:30">
      <c r="M4" s="13"/>
      <c r="W4" s="34"/>
      <c r="X4" s="34"/>
      <c r="Y4" s="34"/>
      <c r="Z4" s="34"/>
    </row>
    <row r="5" spans="1:30" s="13" customFormat="1">
      <c r="A5" s="33"/>
      <c r="B5" s="124" t="s">
        <v>1049</v>
      </c>
      <c r="C5" s="124" t="s">
        <v>1048</v>
      </c>
      <c r="D5" s="124" t="s">
        <v>1047</v>
      </c>
      <c r="E5" s="124" t="s">
        <v>1046</v>
      </c>
      <c r="F5" s="124" t="s">
        <v>1045</v>
      </c>
      <c r="G5" s="124" t="s">
        <v>1044</v>
      </c>
      <c r="H5" s="124" t="s">
        <v>1043</v>
      </c>
      <c r="I5" s="124" t="s">
        <v>1042</v>
      </c>
      <c r="J5" s="124" t="s">
        <v>1041</v>
      </c>
      <c r="K5" s="124" t="s">
        <v>1040</v>
      </c>
      <c r="L5" s="124" t="s">
        <v>1039</v>
      </c>
      <c r="M5" s="124" t="s">
        <v>1038</v>
      </c>
      <c r="N5" s="124" t="s">
        <v>1037</v>
      </c>
      <c r="O5" s="32"/>
      <c r="P5" s="31" t="s">
        <v>1036</v>
      </c>
      <c r="Q5" s="30"/>
      <c r="R5" s="124" t="s">
        <v>1035</v>
      </c>
      <c r="S5" s="124" t="s">
        <v>1034</v>
      </c>
      <c r="T5" s="124" t="s">
        <v>1033</v>
      </c>
      <c r="U5" s="124" t="s">
        <v>1032</v>
      </c>
      <c r="V5" s="124" t="s">
        <v>1031</v>
      </c>
      <c r="W5" s="124" t="s">
        <v>1030</v>
      </c>
      <c r="X5" s="124" t="s">
        <v>1029</v>
      </c>
      <c r="Y5" s="124" t="s">
        <v>1028</v>
      </c>
      <c r="Z5" s="124" t="s">
        <v>1027</v>
      </c>
      <c r="AA5" s="29"/>
    </row>
    <row r="6" spans="1:30" s="13" customFormat="1">
      <c r="A6" s="28"/>
      <c r="B6" s="125"/>
      <c r="C6" s="125"/>
      <c r="D6" s="126"/>
      <c r="E6" s="125"/>
      <c r="F6" s="125"/>
      <c r="G6" s="125"/>
      <c r="H6" s="125"/>
      <c r="I6" s="125"/>
      <c r="J6" s="125"/>
      <c r="K6" s="125"/>
      <c r="L6" s="125"/>
      <c r="M6" s="125"/>
      <c r="N6" s="125"/>
      <c r="O6" s="27" t="s">
        <v>1026</v>
      </c>
      <c r="P6" s="25"/>
      <c r="Q6" s="26" t="s">
        <v>1025</v>
      </c>
      <c r="R6" s="125"/>
      <c r="S6" s="125"/>
      <c r="T6" s="125"/>
      <c r="U6" s="125"/>
      <c r="V6" s="125"/>
      <c r="W6" s="125"/>
      <c r="X6" s="125"/>
      <c r="Y6" s="125"/>
      <c r="Z6" s="125"/>
    </row>
    <row r="7" spans="1:30" s="13" customFormat="1">
      <c r="A7" s="25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 t="s">
        <v>1024</v>
      </c>
      <c r="P7" s="24"/>
      <c r="Q7" s="23" t="s">
        <v>1024</v>
      </c>
      <c r="R7" s="23"/>
      <c r="S7" s="23"/>
      <c r="T7" s="23"/>
      <c r="U7" s="23"/>
      <c r="V7" s="23"/>
      <c r="W7" s="23"/>
      <c r="X7" s="23"/>
      <c r="Y7" s="23"/>
      <c r="Z7" s="23"/>
    </row>
    <row r="8" spans="1:30">
      <c r="A8" s="19">
        <v>1</v>
      </c>
      <c r="B8" s="19" t="s">
        <v>23</v>
      </c>
      <c r="C8" s="19" t="s">
        <v>505</v>
      </c>
      <c r="D8" s="19" t="s">
        <v>24</v>
      </c>
      <c r="E8" s="19" t="s">
        <v>465</v>
      </c>
      <c r="F8" s="19" t="s">
        <v>465</v>
      </c>
      <c r="G8" s="19" t="s">
        <v>939</v>
      </c>
      <c r="H8" s="19" t="s">
        <v>27</v>
      </c>
      <c r="I8" s="19" t="s">
        <v>465</v>
      </c>
      <c r="J8" s="19" t="s">
        <v>465</v>
      </c>
      <c r="K8" s="19" t="s">
        <v>465</v>
      </c>
      <c r="L8" s="19" t="s">
        <v>733</v>
      </c>
      <c r="M8" s="21" t="s">
        <v>465</v>
      </c>
      <c r="N8" s="19" t="s">
        <v>465</v>
      </c>
      <c r="O8" s="19" t="s">
        <v>498</v>
      </c>
      <c r="P8" s="19" t="s">
        <v>465</v>
      </c>
      <c r="Q8" s="19" t="s">
        <v>498</v>
      </c>
      <c r="R8" s="19" t="s">
        <v>465</v>
      </c>
      <c r="S8" s="19" t="s">
        <v>465</v>
      </c>
      <c r="T8" s="19" t="s">
        <v>465</v>
      </c>
      <c r="U8" s="19" t="s">
        <v>465</v>
      </c>
      <c r="V8" s="19" t="s">
        <v>733</v>
      </c>
      <c r="W8" s="19" t="s">
        <v>465</v>
      </c>
      <c r="X8" s="19" t="s">
        <v>733</v>
      </c>
      <c r="Y8" s="19" t="s">
        <v>733</v>
      </c>
      <c r="Z8" s="19" t="s">
        <v>733</v>
      </c>
    </row>
    <row r="9" spans="1:30">
      <c r="A9" s="17">
        <v>2</v>
      </c>
      <c r="B9" s="14" t="s">
        <v>465</v>
      </c>
      <c r="C9" s="14"/>
      <c r="D9" s="14" t="s">
        <v>465</v>
      </c>
      <c r="E9" s="14" t="s">
        <v>465</v>
      </c>
      <c r="F9" s="14" t="s">
        <v>465</v>
      </c>
      <c r="G9" s="14" t="s">
        <v>939</v>
      </c>
      <c r="H9" s="14" t="s">
        <v>27</v>
      </c>
      <c r="I9" s="14"/>
      <c r="J9" s="14" t="s">
        <v>465</v>
      </c>
      <c r="K9" s="14" t="s">
        <v>465</v>
      </c>
      <c r="L9" s="14" t="s">
        <v>733</v>
      </c>
      <c r="M9" s="15" t="s">
        <v>465</v>
      </c>
      <c r="N9" s="14" t="s">
        <v>498</v>
      </c>
      <c r="O9" s="14" t="s">
        <v>498</v>
      </c>
      <c r="P9" s="14" t="s">
        <v>1023</v>
      </c>
      <c r="Q9" s="14" t="s">
        <v>498</v>
      </c>
      <c r="R9" s="14" t="s">
        <v>465</v>
      </c>
      <c r="S9" s="14" t="s">
        <v>465</v>
      </c>
      <c r="T9" s="14" t="s">
        <v>465</v>
      </c>
      <c r="U9" s="14" t="s">
        <v>465</v>
      </c>
      <c r="V9" s="14" t="s">
        <v>733</v>
      </c>
      <c r="W9" s="14" t="s">
        <v>733</v>
      </c>
      <c r="X9" s="14" t="s">
        <v>733</v>
      </c>
      <c r="Y9" s="14" t="s">
        <v>733</v>
      </c>
      <c r="Z9" s="14" t="s">
        <v>733</v>
      </c>
    </row>
    <row r="10" spans="1:30">
      <c r="A10" s="17">
        <v>1</v>
      </c>
      <c r="B10" s="19" t="s">
        <v>29</v>
      </c>
      <c r="C10" s="19" t="s">
        <v>505</v>
      </c>
      <c r="D10" s="19" t="s">
        <v>24</v>
      </c>
      <c r="E10" s="19" t="s">
        <v>465</v>
      </c>
      <c r="F10" s="19" t="s">
        <v>465</v>
      </c>
      <c r="G10" s="19" t="s">
        <v>30</v>
      </c>
      <c r="H10" s="19" t="s">
        <v>31</v>
      </c>
      <c r="I10" s="19" t="s">
        <v>465</v>
      </c>
      <c r="J10" s="19" t="s">
        <v>465</v>
      </c>
      <c r="K10" s="19" t="s">
        <v>465</v>
      </c>
      <c r="L10" s="19" t="s">
        <v>733</v>
      </c>
      <c r="M10" s="21" t="s">
        <v>465</v>
      </c>
      <c r="N10" s="19" t="s">
        <v>465</v>
      </c>
      <c r="O10" s="19" t="s">
        <v>498</v>
      </c>
      <c r="P10" s="19" t="s">
        <v>465</v>
      </c>
      <c r="Q10" s="19" t="s">
        <v>498</v>
      </c>
      <c r="R10" s="19" t="s">
        <v>465</v>
      </c>
      <c r="S10" s="19" t="s">
        <v>465</v>
      </c>
      <c r="T10" s="19" t="s">
        <v>465</v>
      </c>
      <c r="U10" s="19" t="s">
        <v>465</v>
      </c>
      <c r="V10" s="19" t="s">
        <v>733</v>
      </c>
      <c r="W10" s="19" t="s">
        <v>465</v>
      </c>
      <c r="X10" s="19" t="s">
        <v>733</v>
      </c>
      <c r="Y10" s="19" t="s">
        <v>733</v>
      </c>
      <c r="Z10" s="19" t="s">
        <v>733</v>
      </c>
    </row>
    <row r="11" spans="1:30">
      <c r="A11" s="17">
        <v>2</v>
      </c>
      <c r="B11" s="14" t="s">
        <v>465</v>
      </c>
      <c r="C11" s="14"/>
      <c r="D11" s="14" t="s">
        <v>465</v>
      </c>
      <c r="E11" s="14" t="s">
        <v>465</v>
      </c>
      <c r="F11" s="14" t="s">
        <v>465</v>
      </c>
      <c r="G11" s="14" t="s">
        <v>30</v>
      </c>
      <c r="H11" s="14" t="s">
        <v>31</v>
      </c>
      <c r="I11" s="14"/>
      <c r="J11" s="14" t="s">
        <v>465</v>
      </c>
      <c r="K11" s="14" t="s">
        <v>465</v>
      </c>
      <c r="L11" s="14" t="s">
        <v>733</v>
      </c>
      <c r="M11" s="15" t="s">
        <v>465</v>
      </c>
      <c r="N11" s="14" t="s">
        <v>498</v>
      </c>
      <c r="O11" s="14" t="s">
        <v>498</v>
      </c>
      <c r="P11" s="14" t="s">
        <v>1023</v>
      </c>
      <c r="Q11" s="14" t="s">
        <v>498</v>
      </c>
      <c r="R11" s="14" t="s">
        <v>465</v>
      </c>
      <c r="S11" s="14" t="s">
        <v>465</v>
      </c>
      <c r="T11" s="14" t="s">
        <v>465</v>
      </c>
      <c r="U11" s="14" t="s">
        <v>465</v>
      </c>
      <c r="V11" s="14" t="s">
        <v>733</v>
      </c>
      <c r="W11" s="14" t="s">
        <v>733</v>
      </c>
      <c r="X11" s="14" t="s">
        <v>733</v>
      </c>
      <c r="Y11" s="14" t="s">
        <v>733</v>
      </c>
      <c r="Z11" s="14" t="s">
        <v>733</v>
      </c>
    </row>
    <row r="12" spans="1:30">
      <c r="A12" s="17">
        <v>1</v>
      </c>
      <c r="B12" s="19" t="s">
        <v>32</v>
      </c>
      <c r="C12" s="19" t="s">
        <v>505</v>
      </c>
      <c r="D12" s="19" t="s">
        <v>138</v>
      </c>
      <c r="E12" s="19" t="s">
        <v>491</v>
      </c>
      <c r="F12" s="19" t="s">
        <v>465</v>
      </c>
      <c r="G12" s="19" t="s">
        <v>1022</v>
      </c>
      <c r="H12" s="19" t="s">
        <v>641</v>
      </c>
      <c r="I12" s="19" t="s">
        <v>528</v>
      </c>
      <c r="J12" s="19" t="s">
        <v>558</v>
      </c>
      <c r="K12" s="19" t="s">
        <v>513</v>
      </c>
      <c r="L12" s="19" t="s">
        <v>1020</v>
      </c>
      <c r="M12" s="21" t="s">
        <v>1010</v>
      </c>
      <c r="N12" s="19" t="s">
        <v>465</v>
      </c>
      <c r="O12" s="19" t="s">
        <v>645</v>
      </c>
      <c r="P12" s="20" t="s">
        <v>1021</v>
      </c>
      <c r="Q12" s="19" t="s">
        <v>611</v>
      </c>
      <c r="R12" s="19" t="s">
        <v>465</v>
      </c>
      <c r="S12" s="19" t="s">
        <v>490</v>
      </c>
      <c r="T12" s="19" t="s">
        <v>465</v>
      </c>
      <c r="U12" s="19" t="s">
        <v>626</v>
      </c>
      <c r="V12" s="19" t="s">
        <v>465</v>
      </c>
      <c r="W12" s="19" t="s">
        <v>465</v>
      </c>
      <c r="X12" s="19" t="s">
        <v>1020</v>
      </c>
      <c r="Y12" s="19" t="s">
        <v>940</v>
      </c>
      <c r="Z12" s="19" t="s">
        <v>903</v>
      </c>
    </row>
    <row r="13" spans="1:30">
      <c r="A13" s="17">
        <v>0</v>
      </c>
      <c r="B13" s="17" t="s">
        <v>465</v>
      </c>
      <c r="C13" s="17"/>
      <c r="D13" s="17" t="s">
        <v>41</v>
      </c>
      <c r="E13" s="17" t="s">
        <v>491</v>
      </c>
      <c r="F13" s="17" t="s">
        <v>465</v>
      </c>
      <c r="G13" s="17" t="s">
        <v>553</v>
      </c>
      <c r="H13" s="17" t="s">
        <v>46</v>
      </c>
      <c r="I13" s="17"/>
      <c r="J13" s="17" t="s">
        <v>465</v>
      </c>
      <c r="K13" s="17" t="s">
        <v>465</v>
      </c>
      <c r="L13" s="17" t="s">
        <v>617</v>
      </c>
      <c r="M13" s="18" t="s">
        <v>1019</v>
      </c>
      <c r="N13" s="17" t="s">
        <v>465</v>
      </c>
      <c r="O13" s="17" t="s">
        <v>660</v>
      </c>
      <c r="P13" s="22" t="s">
        <v>1018</v>
      </c>
      <c r="Q13" s="17" t="s">
        <v>554</v>
      </c>
      <c r="R13" s="17" t="s">
        <v>81</v>
      </c>
      <c r="S13" s="17" t="s">
        <v>490</v>
      </c>
      <c r="T13" s="17" t="s">
        <v>465</v>
      </c>
      <c r="U13" s="17" t="s">
        <v>521</v>
      </c>
      <c r="V13" s="17" t="s">
        <v>465</v>
      </c>
      <c r="W13" s="17" t="s">
        <v>465</v>
      </c>
      <c r="X13" s="17" t="s">
        <v>617</v>
      </c>
      <c r="Y13" s="17" t="s">
        <v>617</v>
      </c>
      <c r="Z13" s="17" t="s">
        <v>617</v>
      </c>
    </row>
    <row r="14" spans="1:30">
      <c r="A14" s="17">
        <v>2</v>
      </c>
      <c r="B14" s="14" t="s">
        <v>465</v>
      </c>
      <c r="C14" s="14"/>
      <c r="D14" s="14" t="s">
        <v>465</v>
      </c>
      <c r="E14" s="14" t="s">
        <v>465</v>
      </c>
      <c r="F14" s="14" t="s">
        <v>465</v>
      </c>
      <c r="G14" s="14" t="s">
        <v>1005</v>
      </c>
      <c r="H14" s="14" t="s">
        <v>50</v>
      </c>
      <c r="I14" s="14"/>
      <c r="J14" s="14" t="s">
        <v>558</v>
      </c>
      <c r="K14" s="14" t="s">
        <v>513</v>
      </c>
      <c r="L14" s="14" t="s">
        <v>1016</v>
      </c>
      <c r="M14" s="15" t="s">
        <v>931</v>
      </c>
      <c r="N14" s="14" t="s">
        <v>689</v>
      </c>
      <c r="O14" s="14" t="s">
        <v>1017</v>
      </c>
      <c r="P14" s="14" t="s">
        <v>860</v>
      </c>
      <c r="Q14" s="14" t="s">
        <v>921</v>
      </c>
      <c r="R14" s="14" t="s">
        <v>81</v>
      </c>
      <c r="S14" s="14" t="s">
        <v>33</v>
      </c>
      <c r="T14" s="14" t="s">
        <v>465</v>
      </c>
      <c r="U14" s="14" t="s">
        <v>233</v>
      </c>
      <c r="V14" s="14" t="s">
        <v>465</v>
      </c>
      <c r="W14" s="14" t="s">
        <v>1016</v>
      </c>
      <c r="X14" s="14" t="s">
        <v>1016</v>
      </c>
      <c r="Y14" s="14" t="s">
        <v>641</v>
      </c>
      <c r="Z14" s="14" t="s">
        <v>552</v>
      </c>
    </row>
    <row r="15" spans="1:30">
      <c r="A15" s="17">
        <v>1</v>
      </c>
      <c r="B15" s="19" t="s">
        <v>52</v>
      </c>
      <c r="C15" s="19" t="s">
        <v>505</v>
      </c>
      <c r="D15" s="19" t="s">
        <v>81</v>
      </c>
      <c r="E15" s="19" t="s">
        <v>529</v>
      </c>
      <c r="F15" s="19" t="s">
        <v>465</v>
      </c>
      <c r="G15" s="19" t="s">
        <v>961</v>
      </c>
      <c r="H15" s="19" t="s">
        <v>828</v>
      </c>
      <c r="I15" s="19" t="s">
        <v>528</v>
      </c>
      <c r="J15" s="19" t="s">
        <v>887</v>
      </c>
      <c r="K15" s="19" t="s">
        <v>513</v>
      </c>
      <c r="L15" s="19" t="s">
        <v>787</v>
      </c>
      <c r="M15" s="21" t="s">
        <v>685</v>
      </c>
      <c r="N15" s="19" t="s">
        <v>465</v>
      </c>
      <c r="O15" s="19" t="s">
        <v>549</v>
      </c>
      <c r="P15" s="20" t="s">
        <v>1015</v>
      </c>
      <c r="Q15" s="19" t="s">
        <v>611</v>
      </c>
      <c r="R15" s="19" t="s">
        <v>765</v>
      </c>
      <c r="S15" s="19" t="s">
        <v>490</v>
      </c>
      <c r="T15" s="19" t="s">
        <v>465</v>
      </c>
      <c r="U15" s="19" t="s">
        <v>626</v>
      </c>
      <c r="V15" s="19" t="s">
        <v>465</v>
      </c>
      <c r="W15" s="19" t="s">
        <v>465</v>
      </c>
      <c r="X15" s="19" t="s">
        <v>787</v>
      </c>
      <c r="Y15" s="19" t="s">
        <v>601</v>
      </c>
      <c r="Z15" s="19" t="s">
        <v>870</v>
      </c>
    </row>
    <row r="16" spans="1:30">
      <c r="A16" s="17">
        <v>0</v>
      </c>
      <c r="B16" s="17" t="s">
        <v>465</v>
      </c>
      <c r="C16" s="17"/>
      <c r="D16" s="17" t="s">
        <v>41</v>
      </c>
      <c r="E16" s="17" t="s">
        <v>570</v>
      </c>
      <c r="F16" s="17" t="s">
        <v>465</v>
      </c>
      <c r="G16" s="17" t="s">
        <v>732</v>
      </c>
      <c r="H16" s="17" t="s">
        <v>61</v>
      </c>
      <c r="I16" s="17"/>
      <c r="J16" s="17" t="s">
        <v>465</v>
      </c>
      <c r="K16" s="17" t="s">
        <v>465</v>
      </c>
      <c r="L16" s="17" t="s">
        <v>1013</v>
      </c>
      <c r="M16" s="18" t="s">
        <v>1014</v>
      </c>
      <c r="N16" s="17" t="s">
        <v>465</v>
      </c>
      <c r="O16" s="17" t="s">
        <v>568</v>
      </c>
      <c r="P16" s="22" t="s">
        <v>567</v>
      </c>
      <c r="Q16" s="17" t="s">
        <v>822</v>
      </c>
      <c r="R16" s="17" t="s">
        <v>159</v>
      </c>
      <c r="S16" s="17" t="s">
        <v>490</v>
      </c>
      <c r="T16" s="17" t="s">
        <v>465</v>
      </c>
      <c r="U16" s="17" t="s">
        <v>521</v>
      </c>
      <c r="V16" s="17" t="s">
        <v>465</v>
      </c>
      <c r="W16" s="17" t="s">
        <v>465</v>
      </c>
      <c r="X16" s="17" t="s">
        <v>1013</v>
      </c>
      <c r="Y16" s="17" t="s">
        <v>1013</v>
      </c>
      <c r="Z16" s="17" t="s">
        <v>1013</v>
      </c>
    </row>
    <row r="17" spans="1:26">
      <c r="A17" s="17">
        <v>2</v>
      </c>
      <c r="B17" s="14" t="s">
        <v>465</v>
      </c>
      <c r="C17" s="14"/>
      <c r="D17" s="14" t="s">
        <v>465</v>
      </c>
      <c r="E17" s="14" t="s">
        <v>465</v>
      </c>
      <c r="F17" s="14" t="s">
        <v>465</v>
      </c>
      <c r="G17" s="14" t="s">
        <v>649</v>
      </c>
      <c r="H17" s="14" t="s">
        <v>64</v>
      </c>
      <c r="I17" s="14"/>
      <c r="J17" s="14" t="s">
        <v>887</v>
      </c>
      <c r="K17" s="14" t="s">
        <v>513</v>
      </c>
      <c r="L17" s="14" t="s">
        <v>532</v>
      </c>
      <c r="M17" s="15" t="s">
        <v>743</v>
      </c>
      <c r="N17" s="14" t="s">
        <v>660</v>
      </c>
      <c r="O17" s="14" t="s">
        <v>1012</v>
      </c>
      <c r="P17" s="14" t="s">
        <v>1011</v>
      </c>
      <c r="Q17" s="14" t="s">
        <v>673</v>
      </c>
      <c r="R17" s="14" t="s">
        <v>781</v>
      </c>
      <c r="S17" s="14" t="s">
        <v>33</v>
      </c>
      <c r="T17" s="14" t="s">
        <v>465</v>
      </c>
      <c r="U17" s="14" t="s">
        <v>233</v>
      </c>
      <c r="V17" s="14" t="s">
        <v>465</v>
      </c>
      <c r="W17" s="14" t="s">
        <v>532</v>
      </c>
      <c r="X17" s="14" t="s">
        <v>532</v>
      </c>
      <c r="Y17" s="14" t="s">
        <v>798</v>
      </c>
      <c r="Z17" s="14" t="s">
        <v>530</v>
      </c>
    </row>
    <row r="18" spans="1:26">
      <c r="A18" s="17">
        <v>1</v>
      </c>
      <c r="B18" s="19" t="s">
        <v>66</v>
      </c>
      <c r="C18" s="19" t="s">
        <v>505</v>
      </c>
      <c r="D18" s="19" t="s">
        <v>138</v>
      </c>
      <c r="E18" s="19" t="s">
        <v>529</v>
      </c>
      <c r="F18" s="19" t="s">
        <v>465</v>
      </c>
      <c r="G18" s="19" t="s">
        <v>955</v>
      </c>
      <c r="H18" s="19" t="s">
        <v>721</v>
      </c>
      <c r="I18" s="19" t="s">
        <v>528</v>
      </c>
      <c r="J18" s="19" t="s">
        <v>558</v>
      </c>
      <c r="K18" s="19" t="s">
        <v>513</v>
      </c>
      <c r="L18" s="19" t="s">
        <v>512</v>
      </c>
      <c r="M18" s="21" t="s">
        <v>1010</v>
      </c>
      <c r="N18" s="19" t="s">
        <v>465</v>
      </c>
      <c r="O18" s="19" t="s">
        <v>898</v>
      </c>
      <c r="P18" s="20" t="s">
        <v>1009</v>
      </c>
      <c r="Q18" s="19" t="s">
        <v>781</v>
      </c>
      <c r="R18" s="19" t="s">
        <v>465</v>
      </c>
      <c r="S18" s="19" t="s">
        <v>490</v>
      </c>
      <c r="T18" s="19" t="s">
        <v>465</v>
      </c>
      <c r="U18" s="19" t="s">
        <v>626</v>
      </c>
      <c r="V18" s="19" t="s">
        <v>465</v>
      </c>
      <c r="W18" s="19" t="s">
        <v>465</v>
      </c>
      <c r="X18" s="19" t="s">
        <v>512</v>
      </c>
      <c r="Y18" s="19" t="s">
        <v>560</v>
      </c>
      <c r="Z18" s="19" t="s">
        <v>791</v>
      </c>
    </row>
    <row r="19" spans="1:26">
      <c r="A19" s="17">
        <v>0</v>
      </c>
      <c r="B19" s="17" t="s">
        <v>465</v>
      </c>
      <c r="C19" s="17"/>
      <c r="D19" s="17" t="s">
        <v>138</v>
      </c>
      <c r="E19" s="17" t="s">
        <v>570</v>
      </c>
      <c r="F19" s="17" t="s">
        <v>465</v>
      </c>
      <c r="G19" s="17" t="s">
        <v>680</v>
      </c>
      <c r="H19" s="17" t="s">
        <v>75</v>
      </c>
      <c r="I19" s="17"/>
      <c r="J19" s="17" t="s">
        <v>465</v>
      </c>
      <c r="K19" s="17" t="s">
        <v>465</v>
      </c>
      <c r="L19" s="17" t="s">
        <v>1008</v>
      </c>
      <c r="M19" s="18" t="s">
        <v>744</v>
      </c>
      <c r="N19" s="17" t="s">
        <v>465</v>
      </c>
      <c r="O19" s="17" t="s">
        <v>637</v>
      </c>
      <c r="P19" s="22" t="s">
        <v>676</v>
      </c>
      <c r="Q19" s="17" t="s">
        <v>637</v>
      </c>
      <c r="R19" s="17" t="s">
        <v>465</v>
      </c>
      <c r="S19" s="17" t="s">
        <v>490</v>
      </c>
      <c r="T19" s="17" t="s">
        <v>465</v>
      </c>
      <c r="U19" s="17" t="s">
        <v>491</v>
      </c>
      <c r="V19" s="17" t="s">
        <v>465</v>
      </c>
      <c r="W19" s="17" t="s">
        <v>465</v>
      </c>
      <c r="X19" s="17" t="s">
        <v>1008</v>
      </c>
      <c r="Y19" s="17" t="s">
        <v>1008</v>
      </c>
      <c r="Z19" s="17" t="s">
        <v>1008</v>
      </c>
    </row>
    <row r="20" spans="1:26">
      <c r="A20" s="17">
        <v>2</v>
      </c>
      <c r="B20" s="14" t="s">
        <v>465</v>
      </c>
      <c r="C20" s="14"/>
      <c r="D20" s="14" t="s">
        <v>465</v>
      </c>
      <c r="E20" s="14" t="s">
        <v>465</v>
      </c>
      <c r="F20" s="14" t="s">
        <v>465</v>
      </c>
      <c r="G20" s="14" t="s">
        <v>560</v>
      </c>
      <c r="H20" s="14" t="s">
        <v>78</v>
      </c>
      <c r="I20" s="14"/>
      <c r="J20" s="14" t="s">
        <v>558</v>
      </c>
      <c r="K20" s="14" t="s">
        <v>513</v>
      </c>
      <c r="L20" s="14" t="s">
        <v>893</v>
      </c>
      <c r="M20" s="15" t="s">
        <v>1007</v>
      </c>
      <c r="N20" s="14" t="s">
        <v>849</v>
      </c>
      <c r="O20" s="14" t="s">
        <v>628</v>
      </c>
      <c r="P20" s="14" t="s">
        <v>894</v>
      </c>
      <c r="Q20" s="14" t="s">
        <v>593</v>
      </c>
      <c r="R20" s="14" t="s">
        <v>465</v>
      </c>
      <c r="S20" s="14" t="s">
        <v>33</v>
      </c>
      <c r="T20" s="14" t="s">
        <v>465</v>
      </c>
      <c r="U20" s="14" t="s">
        <v>504</v>
      </c>
      <c r="V20" s="14" t="s">
        <v>465</v>
      </c>
      <c r="W20" s="14" t="s">
        <v>893</v>
      </c>
      <c r="X20" s="14" t="s">
        <v>893</v>
      </c>
      <c r="Y20" s="14" t="s">
        <v>683</v>
      </c>
      <c r="Z20" s="14" t="s">
        <v>760</v>
      </c>
    </row>
    <row r="21" spans="1:26">
      <c r="A21" s="17">
        <v>1</v>
      </c>
      <c r="B21" s="19" t="s">
        <v>80</v>
      </c>
      <c r="C21" s="19" t="s">
        <v>505</v>
      </c>
      <c r="D21" s="19" t="s">
        <v>81</v>
      </c>
      <c r="E21" s="19" t="s">
        <v>491</v>
      </c>
      <c r="F21" s="19" t="s">
        <v>465</v>
      </c>
      <c r="G21" s="19" t="s">
        <v>1001</v>
      </c>
      <c r="H21" s="19" t="s">
        <v>824</v>
      </c>
      <c r="I21" s="19" t="s">
        <v>528</v>
      </c>
      <c r="J21" s="19" t="s">
        <v>480</v>
      </c>
      <c r="K21" s="19" t="s">
        <v>513</v>
      </c>
      <c r="L21" s="19" t="s">
        <v>737</v>
      </c>
      <c r="M21" s="21" t="s">
        <v>670</v>
      </c>
      <c r="N21" s="19" t="s">
        <v>465</v>
      </c>
      <c r="O21" s="19" t="s">
        <v>995</v>
      </c>
      <c r="P21" s="20" t="s">
        <v>1006</v>
      </c>
      <c r="Q21" s="19" t="s">
        <v>581</v>
      </c>
      <c r="R21" s="19" t="s">
        <v>765</v>
      </c>
      <c r="S21" s="19" t="s">
        <v>490</v>
      </c>
      <c r="T21" s="19" t="s">
        <v>465</v>
      </c>
      <c r="U21" s="19" t="s">
        <v>626</v>
      </c>
      <c r="V21" s="19" t="s">
        <v>465</v>
      </c>
      <c r="W21" s="19" t="s">
        <v>465</v>
      </c>
      <c r="X21" s="19" t="s">
        <v>737</v>
      </c>
      <c r="Y21" s="19" t="s">
        <v>1005</v>
      </c>
      <c r="Z21" s="19" t="s">
        <v>915</v>
      </c>
    </row>
    <row r="22" spans="1:26">
      <c r="A22" s="17">
        <v>0</v>
      </c>
      <c r="B22" s="17" t="s">
        <v>465</v>
      </c>
      <c r="C22" s="17"/>
      <c r="D22" s="17" t="s">
        <v>87</v>
      </c>
      <c r="E22" s="17" t="s">
        <v>529</v>
      </c>
      <c r="F22" s="17" t="s">
        <v>465</v>
      </c>
      <c r="G22" s="17" t="s">
        <v>551</v>
      </c>
      <c r="H22" s="17" t="s">
        <v>91</v>
      </c>
      <c r="I22" s="17"/>
      <c r="J22" s="17" t="s">
        <v>465</v>
      </c>
      <c r="K22" s="17" t="s">
        <v>465</v>
      </c>
      <c r="L22" s="17" t="s">
        <v>768</v>
      </c>
      <c r="M22" s="18" t="s">
        <v>843</v>
      </c>
      <c r="N22" s="17" t="s">
        <v>465</v>
      </c>
      <c r="O22" s="17" t="s">
        <v>511</v>
      </c>
      <c r="P22" s="22" t="s">
        <v>974</v>
      </c>
      <c r="Q22" s="17" t="s">
        <v>504</v>
      </c>
      <c r="R22" s="17" t="s">
        <v>138</v>
      </c>
      <c r="S22" s="17" t="s">
        <v>490</v>
      </c>
      <c r="T22" s="17" t="s">
        <v>465</v>
      </c>
      <c r="U22" s="17" t="s">
        <v>521</v>
      </c>
      <c r="V22" s="17" t="s">
        <v>465</v>
      </c>
      <c r="W22" s="17" t="s">
        <v>465</v>
      </c>
      <c r="X22" s="17" t="s">
        <v>768</v>
      </c>
      <c r="Y22" s="17" t="s">
        <v>768</v>
      </c>
      <c r="Z22" s="17" t="s">
        <v>768</v>
      </c>
    </row>
    <row r="23" spans="1:26">
      <c r="A23" s="17">
        <v>2</v>
      </c>
      <c r="B23" s="14" t="s">
        <v>465</v>
      </c>
      <c r="C23" s="14"/>
      <c r="D23" s="14" t="s">
        <v>465</v>
      </c>
      <c r="E23" s="14" t="s">
        <v>465</v>
      </c>
      <c r="F23" s="14" t="s">
        <v>465</v>
      </c>
      <c r="G23" s="14" t="s">
        <v>616</v>
      </c>
      <c r="H23" s="14" t="s">
        <v>94</v>
      </c>
      <c r="I23" s="14"/>
      <c r="J23" s="14" t="s">
        <v>480</v>
      </c>
      <c r="K23" s="14" t="s">
        <v>513</v>
      </c>
      <c r="L23" s="14" t="s">
        <v>1004</v>
      </c>
      <c r="M23" s="15" t="s">
        <v>827</v>
      </c>
      <c r="N23" s="14" t="s">
        <v>681</v>
      </c>
      <c r="O23" s="14" t="s">
        <v>583</v>
      </c>
      <c r="P23" s="14" t="s">
        <v>984</v>
      </c>
      <c r="Q23" s="14" t="s">
        <v>898</v>
      </c>
      <c r="R23" s="14" t="s">
        <v>596</v>
      </c>
      <c r="S23" s="14" t="s">
        <v>33</v>
      </c>
      <c r="T23" s="14" t="s">
        <v>465</v>
      </c>
      <c r="U23" s="14" t="s">
        <v>233</v>
      </c>
      <c r="V23" s="14" t="s">
        <v>465</v>
      </c>
      <c r="W23" s="14" t="s">
        <v>1004</v>
      </c>
      <c r="X23" s="14" t="s">
        <v>1004</v>
      </c>
      <c r="Y23" s="14" t="s">
        <v>1003</v>
      </c>
      <c r="Z23" s="14" t="s">
        <v>1002</v>
      </c>
    </row>
    <row r="24" spans="1:26">
      <c r="A24" s="17">
        <v>1</v>
      </c>
      <c r="B24" s="19" t="s">
        <v>62</v>
      </c>
      <c r="C24" s="19" t="s">
        <v>505</v>
      </c>
      <c r="D24" s="19" t="s">
        <v>41</v>
      </c>
      <c r="E24" s="19" t="s">
        <v>570</v>
      </c>
      <c r="F24" s="19" t="s">
        <v>465</v>
      </c>
      <c r="G24" s="19" t="s">
        <v>1001</v>
      </c>
      <c r="H24" s="19" t="s">
        <v>732</v>
      </c>
      <c r="I24" s="19" t="s">
        <v>528</v>
      </c>
      <c r="J24" s="19" t="s">
        <v>480</v>
      </c>
      <c r="K24" s="19" t="s">
        <v>513</v>
      </c>
      <c r="L24" s="19" t="s">
        <v>827</v>
      </c>
      <c r="M24" s="21" t="s">
        <v>800</v>
      </c>
      <c r="N24" s="19" t="s">
        <v>465</v>
      </c>
      <c r="O24" s="19" t="s">
        <v>759</v>
      </c>
      <c r="P24" s="20" t="s">
        <v>1000</v>
      </c>
      <c r="Q24" s="19" t="s">
        <v>142</v>
      </c>
      <c r="R24" s="19" t="s">
        <v>87</v>
      </c>
      <c r="S24" s="19" t="s">
        <v>490</v>
      </c>
      <c r="T24" s="19" t="s">
        <v>465</v>
      </c>
      <c r="U24" s="19" t="s">
        <v>626</v>
      </c>
      <c r="V24" s="19" t="s">
        <v>465</v>
      </c>
      <c r="W24" s="19" t="s">
        <v>465</v>
      </c>
      <c r="X24" s="19" t="s">
        <v>827</v>
      </c>
      <c r="Y24" s="19" t="s">
        <v>787</v>
      </c>
      <c r="Z24" s="19" t="s">
        <v>512</v>
      </c>
    </row>
    <row r="25" spans="1:26">
      <c r="A25" s="17">
        <v>0</v>
      </c>
      <c r="B25" s="17" t="s">
        <v>465</v>
      </c>
      <c r="C25" s="17"/>
      <c r="D25" s="17" t="s">
        <v>41</v>
      </c>
      <c r="E25" s="17" t="s">
        <v>521</v>
      </c>
      <c r="F25" s="17" t="s">
        <v>465</v>
      </c>
      <c r="G25" s="17" t="s">
        <v>958</v>
      </c>
      <c r="H25" s="17" t="s">
        <v>99</v>
      </c>
      <c r="I25" s="17"/>
      <c r="J25" s="17" t="s">
        <v>465</v>
      </c>
      <c r="K25" s="17" t="s">
        <v>465</v>
      </c>
      <c r="L25" s="17" t="s">
        <v>617</v>
      </c>
      <c r="M25" s="18" t="s">
        <v>999</v>
      </c>
      <c r="N25" s="17" t="s">
        <v>465</v>
      </c>
      <c r="O25" s="17" t="s">
        <v>715</v>
      </c>
      <c r="P25" s="22" t="s">
        <v>998</v>
      </c>
      <c r="Q25" s="17" t="s">
        <v>498</v>
      </c>
      <c r="R25" s="17" t="s">
        <v>545</v>
      </c>
      <c r="S25" s="17" t="s">
        <v>490</v>
      </c>
      <c r="T25" s="17" t="s">
        <v>465</v>
      </c>
      <c r="U25" s="17" t="s">
        <v>521</v>
      </c>
      <c r="V25" s="17" t="s">
        <v>465</v>
      </c>
      <c r="W25" s="17" t="s">
        <v>465</v>
      </c>
      <c r="X25" s="17" t="s">
        <v>617</v>
      </c>
      <c r="Y25" s="17" t="s">
        <v>617</v>
      </c>
      <c r="Z25" s="17" t="s">
        <v>617</v>
      </c>
    </row>
    <row r="26" spans="1:26">
      <c r="A26" s="17">
        <v>2</v>
      </c>
      <c r="B26" s="14" t="s">
        <v>465</v>
      </c>
      <c r="C26" s="14"/>
      <c r="D26" s="14" t="s">
        <v>465</v>
      </c>
      <c r="E26" s="14" t="s">
        <v>465</v>
      </c>
      <c r="F26" s="14" t="s">
        <v>465</v>
      </c>
      <c r="G26" s="14" t="s">
        <v>616</v>
      </c>
      <c r="H26" s="14" t="s">
        <v>102</v>
      </c>
      <c r="I26" s="14"/>
      <c r="J26" s="14" t="s">
        <v>480</v>
      </c>
      <c r="K26" s="14" t="s">
        <v>513</v>
      </c>
      <c r="L26" s="14" t="s">
        <v>996</v>
      </c>
      <c r="M26" s="15" t="s">
        <v>997</v>
      </c>
      <c r="N26" s="14" t="s">
        <v>703</v>
      </c>
      <c r="O26" s="14" t="s">
        <v>742</v>
      </c>
      <c r="P26" s="14" t="s">
        <v>910</v>
      </c>
      <c r="Q26" s="14" t="s">
        <v>142</v>
      </c>
      <c r="R26" s="14" t="s">
        <v>484</v>
      </c>
      <c r="S26" s="14" t="s">
        <v>33</v>
      </c>
      <c r="T26" s="14" t="s">
        <v>465</v>
      </c>
      <c r="U26" s="14" t="s">
        <v>233</v>
      </c>
      <c r="V26" s="14" t="s">
        <v>465</v>
      </c>
      <c r="W26" s="14" t="s">
        <v>996</v>
      </c>
      <c r="X26" s="14" t="s">
        <v>996</v>
      </c>
      <c r="Y26" s="14" t="s">
        <v>720</v>
      </c>
      <c r="Z26" s="14" t="s">
        <v>479</v>
      </c>
    </row>
    <row r="27" spans="1:26">
      <c r="A27" s="17">
        <v>1</v>
      </c>
      <c r="B27" s="19" t="s">
        <v>104</v>
      </c>
      <c r="C27" s="19" t="s">
        <v>505</v>
      </c>
      <c r="D27" s="19" t="s">
        <v>105</v>
      </c>
      <c r="E27" s="19" t="s">
        <v>491</v>
      </c>
      <c r="F27" s="19" t="s">
        <v>465</v>
      </c>
      <c r="G27" s="19" t="s">
        <v>548</v>
      </c>
      <c r="H27" s="19" t="s">
        <v>779</v>
      </c>
      <c r="I27" s="19" t="s">
        <v>528</v>
      </c>
      <c r="J27" s="19" t="s">
        <v>717</v>
      </c>
      <c r="K27" s="19" t="s">
        <v>513</v>
      </c>
      <c r="L27" s="19" t="s">
        <v>752</v>
      </c>
      <c r="M27" s="21" t="s">
        <v>667</v>
      </c>
      <c r="N27" s="19" t="s">
        <v>465</v>
      </c>
      <c r="O27" s="19" t="s">
        <v>498</v>
      </c>
      <c r="P27" s="19" t="s">
        <v>465</v>
      </c>
      <c r="Q27" s="19" t="s">
        <v>577</v>
      </c>
      <c r="R27" s="19" t="s">
        <v>465</v>
      </c>
      <c r="S27" s="19" t="s">
        <v>490</v>
      </c>
      <c r="T27" s="19" t="s">
        <v>465</v>
      </c>
      <c r="U27" s="19" t="s">
        <v>626</v>
      </c>
      <c r="V27" s="19" t="s">
        <v>465</v>
      </c>
      <c r="W27" s="19" t="s">
        <v>465</v>
      </c>
      <c r="X27" s="19" t="s">
        <v>752</v>
      </c>
      <c r="Y27" s="19" t="s">
        <v>737</v>
      </c>
      <c r="Z27" s="19" t="s">
        <v>548</v>
      </c>
    </row>
    <row r="28" spans="1:26">
      <c r="A28" s="17">
        <v>0</v>
      </c>
      <c r="B28" s="17" t="s">
        <v>465</v>
      </c>
      <c r="C28" s="17"/>
      <c r="D28" s="17" t="s">
        <v>138</v>
      </c>
      <c r="E28" s="17" t="s">
        <v>545</v>
      </c>
      <c r="F28" s="17" t="s">
        <v>465</v>
      </c>
      <c r="G28" s="17" t="s">
        <v>950</v>
      </c>
      <c r="H28" s="17" t="s">
        <v>114</v>
      </c>
      <c r="I28" s="17"/>
      <c r="J28" s="17" t="s">
        <v>465</v>
      </c>
      <c r="K28" s="17" t="s">
        <v>465</v>
      </c>
      <c r="L28" s="17" t="s">
        <v>937</v>
      </c>
      <c r="M28" s="18" t="s">
        <v>499</v>
      </c>
      <c r="N28" s="17" t="s">
        <v>465</v>
      </c>
      <c r="O28" s="17" t="s">
        <v>637</v>
      </c>
      <c r="P28" s="22" t="s">
        <v>676</v>
      </c>
      <c r="Q28" s="17" t="s">
        <v>995</v>
      </c>
      <c r="R28" s="17" t="s">
        <v>465</v>
      </c>
      <c r="S28" s="17" t="s">
        <v>490</v>
      </c>
      <c r="T28" s="17" t="s">
        <v>465</v>
      </c>
      <c r="U28" s="17" t="s">
        <v>491</v>
      </c>
      <c r="V28" s="17" t="s">
        <v>465</v>
      </c>
      <c r="W28" s="17" t="s">
        <v>465</v>
      </c>
      <c r="X28" s="17" t="s">
        <v>937</v>
      </c>
      <c r="Y28" s="17" t="s">
        <v>937</v>
      </c>
      <c r="Z28" s="17" t="s">
        <v>937</v>
      </c>
    </row>
    <row r="29" spans="1:26">
      <c r="A29" s="17">
        <v>2</v>
      </c>
      <c r="B29" s="14" t="s">
        <v>465</v>
      </c>
      <c r="C29" s="14"/>
      <c r="D29" s="14" t="s">
        <v>465</v>
      </c>
      <c r="E29" s="14" t="s">
        <v>465</v>
      </c>
      <c r="F29" s="14" t="s">
        <v>465</v>
      </c>
      <c r="G29" s="14" t="s">
        <v>586</v>
      </c>
      <c r="H29" s="14" t="s">
        <v>116</v>
      </c>
      <c r="I29" s="14"/>
      <c r="J29" s="14" t="s">
        <v>717</v>
      </c>
      <c r="K29" s="14" t="s">
        <v>513</v>
      </c>
      <c r="L29" s="14" t="s">
        <v>588</v>
      </c>
      <c r="M29" s="15" t="s">
        <v>883</v>
      </c>
      <c r="N29" s="14" t="s">
        <v>612</v>
      </c>
      <c r="O29" s="14" t="s">
        <v>637</v>
      </c>
      <c r="P29" s="14" t="s">
        <v>994</v>
      </c>
      <c r="Q29" s="14" t="s">
        <v>751</v>
      </c>
      <c r="R29" s="14" t="s">
        <v>465</v>
      </c>
      <c r="S29" s="14" t="s">
        <v>33</v>
      </c>
      <c r="T29" s="14" t="s">
        <v>465</v>
      </c>
      <c r="U29" s="14" t="s">
        <v>504</v>
      </c>
      <c r="V29" s="14" t="s">
        <v>465</v>
      </c>
      <c r="W29" s="14" t="s">
        <v>588</v>
      </c>
      <c r="X29" s="14" t="s">
        <v>588</v>
      </c>
      <c r="Y29" s="14" t="s">
        <v>993</v>
      </c>
      <c r="Z29" s="14" t="s">
        <v>607</v>
      </c>
    </row>
    <row r="30" spans="1:26">
      <c r="A30" s="17">
        <v>1</v>
      </c>
      <c r="B30" s="19" t="s">
        <v>48</v>
      </c>
      <c r="C30" s="19" t="s">
        <v>505</v>
      </c>
      <c r="D30" s="19" t="s">
        <v>41</v>
      </c>
      <c r="E30" s="19" t="s">
        <v>491</v>
      </c>
      <c r="F30" s="19" t="s">
        <v>465</v>
      </c>
      <c r="G30" s="19" t="s">
        <v>523</v>
      </c>
      <c r="H30" s="19" t="s">
        <v>553</v>
      </c>
      <c r="I30" s="19" t="s">
        <v>528</v>
      </c>
      <c r="J30" s="19" t="s">
        <v>887</v>
      </c>
      <c r="K30" s="19" t="s">
        <v>513</v>
      </c>
      <c r="L30" s="19" t="s">
        <v>665</v>
      </c>
      <c r="M30" s="21" t="s">
        <v>622</v>
      </c>
      <c r="N30" s="19" t="s">
        <v>465</v>
      </c>
      <c r="O30" s="19" t="s">
        <v>574</v>
      </c>
      <c r="P30" s="20" t="s">
        <v>992</v>
      </c>
      <c r="Q30" s="19" t="s">
        <v>596</v>
      </c>
      <c r="R30" s="19" t="s">
        <v>142</v>
      </c>
      <c r="S30" s="19" t="s">
        <v>490</v>
      </c>
      <c r="T30" s="19" t="s">
        <v>465</v>
      </c>
      <c r="U30" s="19" t="s">
        <v>626</v>
      </c>
      <c r="V30" s="19" t="s">
        <v>465</v>
      </c>
      <c r="W30" s="19" t="s">
        <v>465</v>
      </c>
      <c r="X30" s="19" t="s">
        <v>665</v>
      </c>
      <c r="Y30" s="19" t="s">
        <v>787</v>
      </c>
      <c r="Z30" s="19" t="s">
        <v>578</v>
      </c>
    </row>
    <row r="31" spans="1:26">
      <c r="A31" s="17">
        <v>0</v>
      </c>
      <c r="B31" s="17" t="s">
        <v>465</v>
      </c>
      <c r="C31" s="17"/>
      <c r="D31" s="17" t="s">
        <v>41</v>
      </c>
      <c r="E31" s="17" t="s">
        <v>529</v>
      </c>
      <c r="F31" s="17" t="s">
        <v>465</v>
      </c>
      <c r="G31" s="17" t="s">
        <v>926</v>
      </c>
      <c r="H31" s="17" t="s">
        <v>123</v>
      </c>
      <c r="I31" s="17"/>
      <c r="J31" s="17" t="s">
        <v>465</v>
      </c>
      <c r="K31" s="17" t="s">
        <v>465</v>
      </c>
      <c r="L31" s="17" t="s">
        <v>744</v>
      </c>
      <c r="M31" s="18" t="s">
        <v>991</v>
      </c>
      <c r="N31" s="17" t="s">
        <v>465</v>
      </c>
      <c r="O31" s="17" t="s">
        <v>693</v>
      </c>
      <c r="P31" s="22" t="s">
        <v>990</v>
      </c>
      <c r="Q31" s="17" t="s">
        <v>498</v>
      </c>
      <c r="R31" s="17" t="s">
        <v>570</v>
      </c>
      <c r="S31" s="17" t="s">
        <v>490</v>
      </c>
      <c r="T31" s="17" t="s">
        <v>465</v>
      </c>
      <c r="U31" s="17" t="s">
        <v>521</v>
      </c>
      <c r="V31" s="17" t="s">
        <v>465</v>
      </c>
      <c r="W31" s="17" t="s">
        <v>465</v>
      </c>
      <c r="X31" s="17" t="s">
        <v>744</v>
      </c>
      <c r="Y31" s="17" t="s">
        <v>744</v>
      </c>
      <c r="Z31" s="17" t="s">
        <v>744</v>
      </c>
    </row>
    <row r="32" spans="1:26">
      <c r="A32" s="17">
        <v>2</v>
      </c>
      <c r="B32" s="14" t="s">
        <v>465</v>
      </c>
      <c r="C32" s="14"/>
      <c r="D32" s="14" t="s">
        <v>465</v>
      </c>
      <c r="E32" s="14" t="s">
        <v>465</v>
      </c>
      <c r="F32" s="14" t="s">
        <v>465</v>
      </c>
      <c r="G32" s="14" t="s">
        <v>711</v>
      </c>
      <c r="H32" s="14" t="s">
        <v>126</v>
      </c>
      <c r="I32" s="14"/>
      <c r="J32" s="14" t="s">
        <v>887</v>
      </c>
      <c r="K32" s="14" t="s">
        <v>513</v>
      </c>
      <c r="L32" s="14" t="s">
        <v>507</v>
      </c>
      <c r="M32" s="15" t="s">
        <v>941</v>
      </c>
      <c r="N32" s="14" t="s">
        <v>681</v>
      </c>
      <c r="O32" s="14" t="s">
        <v>989</v>
      </c>
      <c r="P32" s="14" t="s">
        <v>575</v>
      </c>
      <c r="Q32" s="14" t="s">
        <v>596</v>
      </c>
      <c r="R32" s="14" t="s">
        <v>484</v>
      </c>
      <c r="S32" s="14" t="s">
        <v>33</v>
      </c>
      <c r="T32" s="14" t="s">
        <v>465</v>
      </c>
      <c r="U32" s="14" t="s">
        <v>233</v>
      </c>
      <c r="V32" s="14" t="s">
        <v>465</v>
      </c>
      <c r="W32" s="14" t="s">
        <v>507</v>
      </c>
      <c r="X32" s="14" t="s">
        <v>507</v>
      </c>
      <c r="Y32" s="14" t="s">
        <v>847</v>
      </c>
      <c r="Z32" s="14" t="s">
        <v>929</v>
      </c>
    </row>
    <row r="33" spans="1:26">
      <c r="A33" s="17">
        <v>1</v>
      </c>
      <c r="B33" s="19" t="s">
        <v>92</v>
      </c>
      <c r="C33" s="19" t="s">
        <v>505</v>
      </c>
      <c r="D33" s="19" t="s">
        <v>87</v>
      </c>
      <c r="E33" s="19" t="s">
        <v>529</v>
      </c>
      <c r="F33" s="19" t="s">
        <v>465</v>
      </c>
      <c r="G33" s="19" t="s">
        <v>903</v>
      </c>
      <c r="H33" s="19" t="s">
        <v>551</v>
      </c>
      <c r="I33" s="19" t="s">
        <v>528</v>
      </c>
      <c r="J33" s="19" t="s">
        <v>887</v>
      </c>
      <c r="K33" s="19" t="s">
        <v>513</v>
      </c>
      <c r="L33" s="19" t="s">
        <v>981</v>
      </c>
      <c r="M33" s="21" t="s">
        <v>527</v>
      </c>
      <c r="N33" s="19" t="s">
        <v>465</v>
      </c>
      <c r="O33" s="19" t="s">
        <v>675</v>
      </c>
      <c r="P33" s="20" t="s">
        <v>988</v>
      </c>
      <c r="Q33" s="19" t="s">
        <v>142</v>
      </c>
      <c r="R33" s="19" t="s">
        <v>138</v>
      </c>
      <c r="S33" s="19" t="s">
        <v>490</v>
      </c>
      <c r="T33" s="19" t="s">
        <v>465</v>
      </c>
      <c r="U33" s="19" t="s">
        <v>626</v>
      </c>
      <c r="V33" s="19" t="s">
        <v>465</v>
      </c>
      <c r="W33" s="19" t="s">
        <v>465</v>
      </c>
      <c r="X33" s="19" t="s">
        <v>981</v>
      </c>
      <c r="Y33" s="19" t="s">
        <v>546</v>
      </c>
      <c r="Z33" s="19" t="s">
        <v>987</v>
      </c>
    </row>
    <row r="34" spans="1:26">
      <c r="A34" s="17">
        <v>0</v>
      </c>
      <c r="B34" s="17" t="s">
        <v>465</v>
      </c>
      <c r="C34" s="17"/>
      <c r="D34" s="17" t="s">
        <v>87</v>
      </c>
      <c r="E34" s="17" t="s">
        <v>521</v>
      </c>
      <c r="F34" s="17" t="s">
        <v>465</v>
      </c>
      <c r="G34" s="17" t="s">
        <v>976</v>
      </c>
      <c r="H34" s="17" t="s">
        <v>133</v>
      </c>
      <c r="I34" s="17"/>
      <c r="J34" s="17" t="s">
        <v>465</v>
      </c>
      <c r="K34" s="17" t="s">
        <v>465</v>
      </c>
      <c r="L34" s="17" t="s">
        <v>566</v>
      </c>
      <c r="M34" s="18" t="s">
        <v>661</v>
      </c>
      <c r="N34" s="17" t="s">
        <v>465</v>
      </c>
      <c r="O34" s="17" t="s">
        <v>660</v>
      </c>
      <c r="P34" s="22" t="s">
        <v>659</v>
      </c>
      <c r="Q34" s="17" t="s">
        <v>138</v>
      </c>
      <c r="R34" s="17" t="s">
        <v>41</v>
      </c>
      <c r="S34" s="17" t="s">
        <v>490</v>
      </c>
      <c r="T34" s="17" t="s">
        <v>465</v>
      </c>
      <c r="U34" s="17" t="s">
        <v>521</v>
      </c>
      <c r="V34" s="17" t="s">
        <v>465</v>
      </c>
      <c r="W34" s="17" t="s">
        <v>465</v>
      </c>
      <c r="X34" s="17" t="s">
        <v>566</v>
      </c>
      <c r="Y34" s="17" t="s">
        <v>566</v>
      </c>
      <c r="Z34" s="17" t="s">
        <v>566</v>
      </c>
    </row>
    <row r="35" spans="1:26">
      <c r="A35" s="17">
        <v>2</v>
      </c>
      <c r="B35" s="14" t="s">
        <v>465</v>
      </c>
      <c r="C35" s="14"/>
      <c r="D35" s="14" t="s">
        <v>465</v>
      </c>
      <c r="E35" s="14" t="s">
        <v>465</v>
      </c>
      <c r="F35" s="14" t="s">
        <v>465</v>
      </c>
      <c r="G35" s="14" t="s">
        <v>650</v>
      </c>
      <c r="H35" s="14" t="s">
        <v>136</v>
      </c>
      <c r="I35" s="14"/>
      <c r="J35" s="14" t="s">
        <v>887</v>
      </c>
      <c r="K35" s="14" t="s">
        <v>513</v>
      </c>
      <c r="L35" s="14" t="s">
        <v>983</v>
      </c>
      <c r="M35" s="15" t="s">
        <v>986</v>
      </c>
      <c r="N35" s="14" t="s">
        <v>537</v>
      </c>
      <c r="O35" s="14" t="s">
        <v>985</v>
      </c>
      <c r="P35" s="14" t="s">
        <v>984</v>
      </c>
      <c r="Q35" s="14" t="s">
        <v>898</v>
      </c>
      <c r="R35" s="14" t="s">
        <v>509</v>
      </c>
      <c r="S35" s="14" t="s">
        <v>33</v>
      </c>
      <c r="T35" s="14" t="s">
        <v>465</v>
      </c>
      <c r="U35" s="14" t="s">
        <v>233</v>
      </c>
      <c r="V35" s="14" t="s">
        <v>465</v>
      </c>
      <c r="W35" s="14" t="s">
        <v>983</v>
      </c>
      <c r="X35" s="14" t="s">
        <v>983</v>
      </c>
      <c r="Y35" s="14" t="s">
        <v>806</v>
      </c>
      <c r="Z35" s="14" t="s">
        <v>982</v>
      </c>
    </row>
    <row r="36" spans="1:26">
      <c r="A36" s="17">
        <v>1</v>
      </c>
      <c r="B36" s="19" t="s">
        <v>76</v>
      </c>
      <c r="C36" s="19" t="s">
        <v>505</v>
      </c>
      <c r="D36" s="19" t="s">
        <v>138</v>
      </c>
      <c r="E36" s="19" t="s">
        <v>570</v>
      </c>
      <c r="F36" s="19" t="s">
        <v>465</v>
      </c>
      <c r="G36" s="19" t="s">
        <v>981</v>
      </c>
      <c r="H36" s="19" t="s">
        <v>680</v>
      </c>
      <c r="I36" s="19" t="s">
        <v>528</v>
      </c>
      <c r="J36" s="19" t="s">
        <v>520</v>
      </c>
      <c r="K36" s="19" t="s">
        <v>513</v>
      </c>
      <c r="L36" s="19" t="s">
        <v>497</v>
      </c>
      <c r="M36" s="21" t="s">
        <v>937</v>
      </c>
      <c r="N36" s="19" t="s">
        <v>465</v>
      </c>
      <c r="O36" s="19" t="s">
        <v>138</v>
      </c>
      <c r="P36" s="20" t="s">
        <v>709</v>
      </c>
      <c r="Q36" s="19" t="s">
        <v>534</v>
      </c>
      <c r="R36" s="19" t="s">
        <v>465</v>
      </c>
      <c r="S36" s="19" t="s">
        <v>490</v>
      </c>
      <c r="T36" s="19" t="s">
        <v>465</v>
      </c>
      <c r="U36" s="19" t="s">
        <v>626</v>
      </c>
      <c r="V36" s="19" t="s">
        <v>465</v>
      </c>
      <c r="W36" s="19" t="s">
        <v>465</v>
      </c>
      <c r="X36" s="19" t="s">
        <v>497</v>
      </c>
      <c r="Y36" s="19" t="s">
        <v>753</v>
      </c>
      <c r="Z36" s="19" t="s">
        <v>565</v>
      </c>
    </row>
    <row r="37" spans="1:26">
      <c r="A37" s="17">
        <v>0</v>
      </c>
      <c r="B37" s="17" t="s">
        <v>465</v>
      </c>
      <c r="C37" s="17"/>
      <c r="D37" s="17" t="s">
        <v>142</v>
      </c>
      <c r="E37" s="17" t="s">
        <v>491</v>
      </c>
      <c r="F37" s="17" t="s">
        <v>465</v>
      </c>
      <c r="G37" s="17" t="s">
        <v>943</v>
      </c>
      <c r="H37" s="17" t="s">
        <v>145</v>
      </c>
      <c r="I37" s="17"/>
      <c r="J37" s="17" t="s">
        <v>465</v>
      </c>
      <c r="K37" s="17" t="s">
        <v>465</v>
      </c>
      <c r="L37" s="17" t="s">
        <v>975</v>
      </c>
      <c r="M37" s="18" t="s">
        <v>980</v>
      </c>
      <c r="N37" s="17" t="s">
        <v>465</v>
      </c>
      <c r="O37" s="17" t="s">
        <v>590</v>
      </c>
      <c r="P37" s="22" t="s">
        <v>979</v>
      </c>
      <c r="Q37" s="17" t="s">
        <v>596</v>
      </c>
      <c r="R37" s="17" t="s">
        <v>465</v>
      </c>
      <c r="S37" s="17" t="s">
        <v>490</v>
      </c>
      <c r="T37" s="17" t="s">
        <v>465</v>
      </c>
      <c r="U37" s="17" t="s">
        <v>765</v>
      </c>
      <c r="V37" s="17" t="s">
        <v>465</v>
      </c>
      <c r="W37" s="17" t="s">
        <v>465</v>
      </c>
      <c r="X37" s="17" t="s">
        <v>975</v>
      </c>
      <c r="Y37" s="17" t="s">
        <v>975</v>
      </c>
      <c r="Z37" s="17" t="s">
        <v>975</v>
      </c>
    </row>
    <row r="38" spans="1:26">
      <c r="A38" s="17">
        <v>2</v>
      </c>
      <c r="B38" s="14" t="s">
        <v>465</v>
      </c>
      <c r="C38" s="14"/>
      <c r="D38" s="14" t="s">
        <v>465</v>
      </c>
      <c r="E38" s="14" t="s">
        <v>465</v>
      </c>
      <c r="F38" s="14" t="s">
        <v>465</v>
      </c>
      <c r="G38" s="14" t="s">
        <v>763</v>
      </c>
      <c r="H38" s="14" t="s">
        <v>99</v>
      </c>
      <c r="I38" s="14"/>
      <c r="J38" s="14" t="s">
        <v>520</v>
      </c>
      <c r="K38" s="14" t="s">
        <v>513</v>
      </c>
      <c r="L38" s="14" t="s">
        <v>552</v>
      </c>
      <c r="M38" s="15" t="s">
        <v>861</v>
      </c>
      <c r="N38" s="14" t="s">
        <v>537</v>
      </c>
      <c r="O38" s="14" t="s">
        <v>628</v>
      </c>
      <c r="P38" s="14" t="s">
        <v>535</v>
      </c>
      <c r="Q38" s="14" t="s">
        <v>978</v>
      </c>
      <c r="R38" s="14" t="s">
        <v>465</v>
      </c>
      <c r="S38" s="14" t="s">
        <v>33</v>
      </c>
      <c r="T38" s="14" t="s">
        <v>465</v>
      </c>
      <c r="U38" s="14" t="s">
        <v>484</v>
      </c>
      <c r="V38" s="14" t="s">
        <v>465</v>
      </c>
      <c r="W38" s="14" t="s">
        <v>552</v>
      </c>
      <c r="X38" s="14" t="s">
        <v>552</v>
      </c>
      <c r="Y38" s="14" t="s">
        <v>686</v>
      </c>
      <c r="Z38" s="14" t="s">
        <v>977</v>
      </c>
    </row>
    <row r="39" spans="1:26">
      <c r="A39" s="17">
        <v>1</v>
      </c>
      <c r="B39" s="19" t="s">
        <v>134</v>
      </c>
      <c r="C39" s="19" t="s">
        <v>505</v>
      </c>
      <c r="D39" s="19" t="s">
        <v>87</v>
      </c>
      <c r="E39" s="19" t="s">
        <v>521</v>
      </c>
      <c r="F39" s="19" t="s">
        <v>465</v>
      </c>
      <c r="G39" s="19" t="s">
        <v>719</v>
      </c>
      <c r="H39" s="19" t="s">
        <v>976</v>
      </c>
      <c r="I39" s="19" t="s">
        <v>528</v>
      </c>
      <c r="J39" s="19" t="s">
        <v>539</v>
      </c>
      <c r="K39" s="19" t="s">
        <v>513</v>
      </c>
      <c r="L39" s="19" t="s">
        <v>827</v>
      </c>
      <c r="M39" s="21" t="s">
        <v>975</v>
      </c>
      <c r="N39" s="19" t="s">
        <v>465</v>
      </c>
      <c r="O39" s="19" t="s">
        <v>511</v>
      </c>
      <c r="P39" s="20" t="s">
        <v>974</v>
      </c>
      <c r="Q39" s="19" t="s">
        <v>637</v>
      </c>
      <c r="R39" s="19" t="s">
        <v>81</v>
      </c>
      <c r="S39" s="19" t="s">
        <v>490</v>
      </c>
      <c r="T39" s="19" t="s">
        <v>465</v>
      </c>
      <c r="U39" s="19" t="s">
        <v>626</v>
      </c>
      <c r="V39" s="19" t="s">
        <v>465</v>
      </c>
      <c r="W39" s="19" t="s">
        <v>465</v>
      </c>
      <c r="X39" s="19" t="s">
        <v>827</v>
      </c>
      <c r="Y39" s="19" t="s">
        <v>916</v>
      </c>
      <c r="Z39" s="19" t="s">
        <v>512</v>
      </c>
    </row>
    <row r="40" spans="1:26">
      <c r="A40" s="17">
        <v>0</v>
      </c>
      <c r="B40" s="17" t="s">
        <v>465</v>
      </c>
      <c r="C40" s="17"/>
      <c r="D40" s="17" t="s">
        <v>81</v>
      </c>
      <c r="E40" s="17" t="s">
        <v>521</v>
      </c>
      <c r="F40" s="17" t="s">
        <v>465</v>
      </c>
      <c r="G40" s="17" t="s">
        <v>891</v>
      </c>
      <c r="H40" s="17" t="s">
        <v>50</v>
      </c>
      <c r="I40" s="17"/>
      <c r="J40" s="17" t="s">
        <v>465</v>
      </c>
      <c r="K40" s="17" t="s">
        <v>465</v>
      </c>
      <c r="L40" s="17" t="s">
        <v>656</v>
      </c>
      <c r="M40" s="18" t="s">
        <v>563</v>
      </c>
      <c r="N40" s="17" t="s">
        <v>465</v>
      </c>
      <c r="O40" s="17" t="s">
        <v>611</v>
      </c>
      <c r="P40" s="22" t="s">
        <v>621</v>
      </c>
      <c r="Q40" s="17" t="s">
        <v>159</v>
      </c>
      <c r="R40" s="17" t="s">
        <v>33</v>
      </c>
      <c r="S40" s="17" t="s">
        <v>490</v>
      </c>
      <c r="T40" s="17" t="s">
        <v>465</v>
      </c>
      <c r="U40" s="17" t="s">
        <v>521</v>
      </c>
      <c r="V40" s="17" t="s">
        <v>465</v>
      </c>
      <c r="W40" s="17" t="s">
        <v>465</v>
      </c>
      <c r="X40" s="17" t="s">
        <v>656</v>
      </c>
      <c r="Y40" s="17" t="s">
        <v>656</v>
      </c>
      <c r="Z40" s="17" t="s">
        <v>656</v>
      </c>
    </row>
    <row r="41" spans="1:26">
      <c r="A41" s="17">
        <v>2</v>
      </c>
      <c r="B41" s="14" t="s">
        <v>465</v>
      </c>
      <c r="C41" s="14"/>
      <c r="D41" s="14" t="s">
        <v>465</v>
      </c>
      <c r="E41" s="14" t="s">
        <v>465</v>
      </c>
      <c r="F41" s="14" t="s">
        <v>465</v>
      </c>
      <c r="G41" s="14" t="s">
        <v>655</v>
      </c>
      <c r="H41" s="14" t="s">
        <v>156</v>
      </c>
      <c r="I41" s="14"/>
      <c r="J41" s="14" t="s">
        <v>539</v>
      </c>
      <c r="K41" s="14" t="s">
        <v>513</v>
      </c>
      <c r="L41" s="14" t="s">
        <v>828</v>
      </c>
      <c r="M41" s="15" t="s">
        <v>973</v>
      </c>
      <c r="N41" s="14" t="s">
        <v>849</v>
      </c>
      <c r="O41" s="14" t="s">
        <v>874</v>
      </c>
      <c r="P41" s="14" t="s">
        <v>972</v>
      </c>
      <c r="Q41" s="14" t="s">
        <v>822</v>
      </c>
      <c r="R41" s="14" t="s">
        <v>611</v>
      </c>
      <c r="S41" s="14" t="s">
        <v>33</v>
      </c>
      <c r="T41" s="14" t="s">
        <v>465</v>
      </c>
      <c r="U41" s="14" t="s">
        <v>233</v>
      </c>
      <c r="V41" s="14" t="s">
        <v>465</v>
      </c>
      <c r="W41" s="14" t="s">
        <v>828</v>
      </c>
      <c r="X41" s="14" t="s">
        <v>828</v>
      </c>
      <c r="Y41" s="14" t="s">
        <v>971</v>
      </c>
      <c r="Z41" s="14" t="s">
        <v>952</v>
      </c>
    </row>
    <row r="42" spans="1:26">
      <c r="A42" s="17">
        <v>1</v>
      </c>
      <c r="B42" s="19" t="s">
        <v>158</v>
      </c>
      <c r="C42" s="19" t="s">
        <v>505</v>
      </c>
      <c r="D42" s="19" t="s">
        <v>159</v>
      </c>
      <c r="E42" s="19" t="s">
        <v>491</v>
      </c>
      <c r="F42" s="19" t="s">
        <v>465</v>
      </c>
      <c r="G42" s="19" t="s">
        <v>970</v>
      </c>
      <c r="H42" s="19" t="s">
        <v>163</v>
      </c>
      <c r="I42" s="19" t="s">
        <v>503</v>
      </c>
      <c r="J42" s="19" t="s">
        <v>968</v>
      </c>
      <c r="K42" s="19" t="s">
        <v>465</v>
      </c>
      <c r="L42" s="19" t="s">
        <v>934</v>
      </c>
      <c r="M42" s="21" t="s">
        <v>967</v>
      </c>
      <c r="N42" s="19" t="s">
        <v>465</v>
      </c>
      <c r="O42" s="19" t="s">
        <v>966</v>
      </c>
      <c r="P42" s="20" t="s">
        <v>969</v>
      </c>
      <c r="Q42" s="19" t="s">
        <v>554</v>
      </c>
      <c r="R42" s="19" t="s">
        <v>465</v>
      </c>
      <c r="S42" s="19" t="s">
        <v>33</v>
      </c>
      <c r="T42" s="19" t="s">
        <v>465</v>
      </c>
      <c r="U42" s="19" t="s">
        <v>490</v>
      </c>
      <c r="V42" s="19" t="s">
        <v>465</v>
      </c>
      <c r="W42" s="19" t="s">
        <v>465</v>
      </c>
      <c r="X42" s="19" t="s">
        <v>934</v>
      </c>
      <c r="Y42" s="19" t="s">
        <v>964</v>
      </c>
      <c r="Z42" s="19" t="s">
        <v>934</v>
      </c>
    </row>
    <row r="43" spans="1:26">
      <c r="A43" s="17">
        <v>2</v>
      </c>
      <c r="B43" s="14" t="s">
        <v>465</v>
      </c>
      <c r="C43" s="14"/>
      <c r="D43" s="14" t="s">
        <v>465</v>
      </c>
      <c r="E43" s="14" t="s">
        <v>465</v>
      </c>
      <c r="F43" s="14" t="s">
        <v>465</v>
      </c>
      <c r="G43" s="14" t="s">
        <v>752</v>
      </c>
      <c r="H43" s="14" t="s">
        <v>166</v>
      </c>
      <c r="I43" s="14"/>
      <c r="J43" s="14" t="s">
        <v>968</v>
      </c>
      <c r="K43" s="14" t="s">
        <v>465</v>
      </c>
      <c r="L43" s="14" t="s">
        <v>934</v>
      </c>
      <c r="M43" s="15" t="s">
        <v>967</v>
      </c>
      <c r="N43" s="14" t="s">
        <v>660</v>
      </c>
      <c r="O43" s="14" t="s">
        <v>966</v>
      </c>
      <c r="P43" s="14" t="s">
        <v>965</v>
      </c>
      <c r="Q43" s="14" t="s">
        <v>554</v>
      </c>
      <c r="R43" s="14" t="s">
        <v>465</v>
      </c>
      <c r="S43" s="14" t="s">
        <v>33</v>
      </c>
      <c r="T43" s="14" t="s">
        <v>465</v>
      </c>
      <c r="U43" s="14" t="s">
        <v>490</v>
      </c>
      <c r="V43" s="14" t="s">
        <v>465</v>
      </c>
      <c r="W43" s="14" t="s">
        <v>934</v>
      </c>
      <c r="X43" s="14" t="s">
        <v>934</v>
      </c>
      <c r="Y43" s="14" t="s">
        <v>964</v>
      </c>
      <c r="Z43" s="14" t="s">
        <v>934</v>
      </c>
    </row>
    <row r="44" spans="1:26">
      <c r="A44" s="17">
        <v>1</v>
      </c>
      <c r="B44" s="19" t="s">
        <v>168</v>
      </c>
      <c r="C44" s="19" t="s">
        <v>505</v>
      </c>
      <c r="D44" s="19" t="s">
        <v>138</v>
      </c>
      <c r="E44" s="19" t="s">
        <v>490</v>
      </c>
      <c r="F44" s="19" t="s">
        <v>465</v>
      </c>
      <c r="G44" s="19" t="s">
        <v>501</v>
      </c>
      <c r="H44" s="19" t="s">
        <v>713</v>
      </c>
      <c r="I44" s="19" t="s">
        <v>528</v>
      </c>
      <c r="J44" s="19" t="s">
        <v>960</v>
      </c>
      <c r="K44" s="19" t="s">
        <v>513</v>
      </c>
      <c r="L44" s="19" t="s">
        <v>878</v>
      </c>
      <c r="M44" s="21" t="s">
        <v>937</v>
      </c>
      <c r="N44" s="19" t="s">
        <v>465</v>
      </c>
      <c r="O44" s="19" t="s">
        <v>138</v>
      </c>
      <c r="P44" s="20" t="s">
        <v>709</v>
      </c>
      <c r="Q44" s="19" t="s">
        <v>534</v>
      </c>
      <c r="R44" s="19" t="s">
        <v>465</v>
      </c>
      <c r="S44" s="19" t="s">
        <v>490</v>
      </c>
      <c r="T44" s="19" t="s">
        <v>465</v>
      </c>
      <c r="U44" s="19" t="s">
        <v>626</v>
      </c>
      <c r="V44" s="19" t="s">
        <v>465</v>
      </c>
      <c r="W44" s="19" t="s">
        <v>465</v>
      </c>
      <c r="X44" s="19" t="s">
        <v>878</v>
      </c>
      <c r="Y44" s="19" t="s">
        <v>753</v>
      </c>
      <c r="Z44" s="19" t="s">
        <v>940</v>
      </c>
    </row>
    <row r="45" spans="1:26">
      <c r="A45" s="17">
        <v>0</v>
      </c>
      <c r="B45" s="17" t="s">
        <v>465</v>
      </c>
      <c r="C45" s="17"/>
      <c r="D45" s="17" t="s">
        <v>233</v>
      </c>
      <c r="E45" s="17" t="s">
        <v>491</v>
      </c>
      <c r="F45" s="17" t="s">
        <v>465</v>
      </c>
      <c r="G45" s="17" t="s">
        <v>932</v>
      </c>
      <c r="H45" s="17" t="s">
        <v>176</v>
      </c>
      <c r="I45" s="17"/>
      <c r="J45" s="17" t="s">
        <v>465</v>
      </c>
      <c r="K45" s="17" t="s">
        <v>465</v>
      </c>
      <c r="L45" s="17" t="s">
        <v>961</v>
      </c>
      <c r="M45" s="18" t="s">
        <v>963</v>
      </c>
      <c r="N45" s="17" t="s">
        <v>465</v>
      </c>
      <c r="O45" s="17" t="s">
        <v>660</v>
      </c>
      <c r="P45" s="22" t="s">
        <v>962</v>
      </c>
      <c r="Q45" s="17" t="s">
        <v>549</v>
      </c>
      <c r="R45" s="17" t="s">
        <v>465</v>
      </c>
      <c r="S45" s="17" t="s">
        <v>490</v>
      </c>
      <c r="T45" s="17" t="s">
        <v>465</v>
      </c>
      <c r="U45" s="17" t="s">
        <v>491</v>
      </c>
      <c r="V45" s="17" t="s">
        <v>465</v>
      </c>
      <c r="W45" s="17" t="s">
        <v>465</v>
      </c>
      <c r="X45" s="17" t="s">
        <v>961</v>
      </c>
      <c r="Y45" s="17" t="s">
        <v>961</v>
      </c>
      <c r="Z45" s="17" t="s">
        <v>961</v>
      </c>
    </row>
    <row r="46" spans="1:26">
      <c r="A46" s="17">
        <v>2</v>
      </c>
      <c r="B46" s="14" t="s">
        <v>465</v>
      </c>
      <c r="C46" s="14"/>
      <c r="D46" s="14" t="s">
        <v>465</v>
      </c>
      <c r="E46" s="14" t="s">
        <v>465</v>
      </c>
      <c r="F46" s="14" t="s">
        <v>465</v>
      </c>
      <c r="G46" s="14" t="s">
        <v>557</v>
      </c>
      <c r="H46" s="14" t="s">
        <v>179</v>
      </c>
      <c r="I46" s="14"/>
      <c r="J46" s="14" t="s">
        <v>960</v>
      </c>
      <c r="K46" s="14" t="s">
        <v>513</v>
      </c>
      <c r="L46" s="14" t="s">
        <v>608</v>
      </c>
      <c r="M46" s="15" t="s">
        <v>857</v>
      </c>
      <c r="N46" s="14" t="s">
        <v>759</v>
      </c>
      <c r="O46" s="14" t="s">
        <v>612</v>
      </c>
      <c r="P46" s="14" t="s">
        <v>875</v>
      </c>
      <c r="Q46" s="14" t="s">
        <v>609</v>
      </c>
      <c r="R46" s="14" t="s">
        <v>465</v>
      </c>
      <c r="S46" s="14" t="s">
        <v>33</v>
      </c>
      <c r="T46" s="14" t="s">
        <v>465</v>
      </c>
      <c r="U46" s="14" t="s">
        <v>504</v>
      </c>
      <c r="V46" s="14" t="s">
        <v>465</v>
      </c>
      <c r="W46" s="14" t="s">
        <v>608</v>
      </c>
      <c r="X46" s="14" t="s">
        <v>608</v>
      </c>
      <c r="Y46" s="14" t="s">
        <v>959</v>
      </c>
      <c r="Z46" s="14" t="s">
        <v>606</v>
      </c>
    </row>
    <row r="47" spans="1:26">
      <c r="A47" s="17">
        <v>1</v>
      </c>
      <c r="B47" s="19" t="s">
        <v>100</v>
      </c>
      <c r="C47" s="19" t="s">
        <v>505</v>
      </c>
      <c r="D47" s="19" t="s">
        <v>41</v>
      </c>
      <c r="E47" s="19" t="s">
        <v>521</v>
      </c>
      <c r="F47" s="19" t="s">
        <v>465</v>
      </c>
      <c r="G47" s="19" t="s">
        <v>871</v>
      </c>
      <c r="H47" s="19" t="s">
        <v>958</v>
      </c>
      <c r="I47" s="19" t="s">
        <v>528</v>
      </c>
      <c r="J47" s="19" t="s">
        <v>953</v>
      </c>
      <c r="K47" s="19" t="s">
        <v>513</v>
      </c>
      <c r="L47" s="19" t="s">
        <v>941</v>
      </c>
      <c r="M47" s="21" t="s">
        <v>957</v>
      </c>
      <c r="N47" s="19" t="s">
        <v>465</v>
      </c>
      <c r="O47" s="19" t="s">
        <v>703</v>
      </c>
      <c r="P47" s="20" t="s">
        <v>956</v>
      </c>
      <c r="Q47" s="19" t="s">
        <v>504</v>
      </c>
      <c r="R47" s="19" t="s">
        <v>81</v>
      </c>
      <c r="S47" s="19" t="s">
        <v>490</v>
      </c>
      <c r="T47" s="19" t="s">
        <v>465</v>
      </c>
      <c r="U47" s="19" t="s">
        <v>626</v>
      </c>
      <c r="V47" s="19" t="s">
        <v>465</v>
      </c>
      <c r="W47" s="19" t="s">
        <v>465</v>
      </c>
      <c r="X47" s="19" t="s">
        <v>941</v>
      </c>
      <c r="Y47" s="19" t="s">
        <v>955</v>
      </c>
      <c r="Z47" s="19" t="s">
        <v>787</v>
      </c>
    </row>
    <row r="48" spans="1:26">
      <c r="A48" s="17">
        <v>0</v>
      </c>
      <c r="B48" s="17" t="s">
        <v>465</v>
      </c>
      <c r="C48" s="17"/>
      <c r="D48" s="17" t="s">
        <v>138</v>
      </c>
      <c r="E48" s="17" t="s">
        <v>491</v>
      </c>
      <c r="F48" s="17" t="s">
        <v>465</v>
      </c>
      <c r="G48" s="17" t="s">
        <v>810</v>
      </c>
      <c r="H48" s="17" t="s">
        <v>185</v>
      </c>
      <c r="I48" s="17"/>
      <c r="J48" s="17" t="s">
        <v>465</v>
      </c>
      <c r="K48" s="17" t="s">
        <v>465</v>
      </c>
      <c r="L48" s="17" t="s">
        <v>954</v>
      </c>
      <c r="M48" s="18" t="s">
        <v>826</v>
      </c>
      <c r="N48" s="17" t="s">
        <v>465</v>
      </c>
      <c r="O48" s="17" t="s">
        <v>33</v>
      </c>
      <c r="P48" s="22" t="s">
        <v>706</v>
      </c>
      <c r="Q48" s="17" t="s">
        <v>637</v>
      </c>
      <c r="R48" s="17" t="s">
        <v>465</v>
      </c>
      <c r="S48" s="17" t="s">
        <v>490</v>
      </c>
      <c r="T48" s="17" t="s">
        <v>465</v>
      </c>
      <c r="U48" s="17" t="s">
        <v>521</v>
      </c>
      <c r="V48" s="17" t="s">
        <v>465</v>
      </c>
      <c r="W48" s="17" t="s">
        <v>465</v>
      </c>
      <c r="X48" s="17" t="s">
        <v>954</v>
      </c>
      <c r="Y48" s="17" t="s">
        <v>954</v>
      </c>
      <c r="Z48" s="17" t="s">
        <v>954</v>
      </c>
    </row>
    <row r="49" spans="1:26">
      <c r="A49" s="17">
        <v>2</v>
      </c>
      <c r="B49" s="14" t="s">
        <v>465</v>
      </c>
      <c r="C49" s="14"/>
      <c r="D49" s="14" t="s">
        <v>465</v>
      </c>
      <c r="E49" s="14" t="s">
        <v>465</v>
      </c>
      <c r="F49" s="14" t="s">
        <v>465</v>
      </c>
      <c r="G49" s="14" t="s">
        <v>620</v>
      </c>
      <c r="H49" s="14" t="s">
        <v>187</v>
      </c>
      <c r="I49" s="14"/>
      <c r="J49" s="14" t="s">
        <v>953</v>
      </c>
      <c r="K49" s="14" t="s">
        <v>513</v>
      </c>
      <c r="L49" s="14" t="s">
        <v>952</v>
      </c>
      <c r="M49" s="15" t="s">
        <v>712</v>
      </c>
      <c r="N49" s="14" t="s">
        <v>53</v>
      </c>
      <c r="O49" s="14" t="s">
        <v>682</v>
      </c>
      <c r="P49" s="14" t="s">
        <v>850</v>
      </c>
      <c r="Q49" s="14" t="s">
        <v>781</v>
      </c>
      <c r="R49" s="14" t="s">
        <v>81</v>
      </c>
      <c r="S49" s="14" t="s">
        <v>33</v>
      </c>
      <c r="T49" s="14" t="s">
        <v>465</v>
      </c>
      <c r="U49" s="14" t="s">
        <v>233</v>
      </c>
      <c r="V49" s="14" t="s">
        <v>465</v>
      </c>
      <c r="W49" s="14" t="s">
        <v>952</v>
      </c>
      <c r="X49" s="14" t="s">
        <v>952</v>
      </c>
      <c r="Y49" s="14" t="s">
        <v>724</v>
      </c>
      <c r="Z49" s="14" t="s">
        <v>951</v>
      </c>
    </row>
    <row r="50" spans="1:26">
      <c r="A50" s="17">
        <v>1</v>
      </c>
      <c r="B50" s="19" t="s">
        <v>115</v>
      </c>
      <c r="C50" s="19" t="s">
        <v>505</v>
      </c>
      <c r="D50" s="19" t="s">
        <v>138</v>
      </c>
      <c r="E50" s="19" t="s">
        <v>545</v>
      </c>
      <c r="F50" s="19" t="s">
        <v>465</v>
      </c>
      <c r="G50" s="19" t="s">
        <v>834</v>
      </c>
      <c r="H50" s="19" t="s">
        <v>950</v>
      </c>
      <c r="I50" s="19" t="s">
        <v>528</v>
      </c>
      <c r="J50" s="19" t="s">
        <v>558</v>
      </c>
      <c r="K50" s="19" t="s">
        <v>513</v>
      </c>
      <c r="L50" s="19" t="s">
        <v>949</v>
      </c>
      <c r="M50" s="21" t="s">
        <v>937</v>
      </c>
      <c r="N50" s="19" t="s">
        <v>465</v>
      </c>
      <c r="O50" s="19" t="s">
        <v>138</v>
      </c>
      <c r="P50" s="20" t="s">
        <v>709</v>
      </c>
      <c r="Q50" s="19" t="s">
        <v>822</v>
      </c>
      <c r="R50" s="19" t="s">
        <v>465</v>
      </c>
      <c r="S50" s="19" t="s">
        <v>490</v>
      </c>
      <c r="T50" s="19" t="s">
        <v>465</v>
      </c>
      <c r="U50" s="19" t="s">
        <v>626</v>
      </c>
      <c r="V50" s="19" t="s">
        <v>465</v>
      </c>
      <c r="W50" s="19" t="s">
        <v>465</v>
      </c>
      <c r="X50" s="19" t="s">
        <v>949</v>
      </c>
      <c r="Y50" s="19" t="s">
        <v>753</v>
      </c>
      <c r="Z50" s="19" t="s">
        <v>890</v>
      </c>
    </row>
    <row r="51" spans="1:26">
      <c r="A51" s="17">
        <v>0</v>
      </c>
      <c r="B51" s="17" t="s">
        <v>465</v>
      </c>
      <c r="C51" s="17"/>
      <c r="D51" s="17" t="s">
        <v>138</v>
      </c>
      <c r="E51" s="17" t="s">
        <v>529</v>
      </c>
      <c r="F51" s="17" t="s">
        <v>465</v>
      </c>
      <c r="G51" s="17" t="s">
        <v>819</v>
      </c>
      <c r="H51" s="17" t="s">
        <v>192</v>
      </c>
      <c r="I51" s="17"/>
      <c r="J51" s="17" t="s">
        <v>465</v>
      </c>
      <c r="K51" s="17" t="s">
        <v>465</v>
      </c>
      <c r="L51" s="17" t="s">
        <v>753</v>
      </c>
      <c r="M51" s="18" t="s">
        <v>948</v>
      </c>
      <c r="N51" s="17" t="s">
        <v>465</v>
      </c>
      <c r="O51" s="17" t="s">
        <v>637</v>
      </c>
      <c r="P51" s="22" t="s">
        <v>676</v>
      </c>
      <c r="Q51" s="17" t="s">
        <v>511</v>
      </c>
      <c r="R51" s="17" t="s">
        <v>465</v>
      </c>
      <c r="S51" s="17" t="s">
        <v>490</v>
      </c>
      <c r="T51" s="17" t="s">
        <v>465</v>
      </c>
      <c r="U51" s="17" t="s">
        <v>491</v>
      </c>
      <c r="V51" s="17" t="s">
        <v>465</v>
      </c>
      <c r="W51" s="17" t="s">
        <v>465</v>
      </c>
      <c r="X51" s="17" t="s">
        <v>753</v>
      </c>
      <c r="Y51" s="17" t="s">
        <v>753</v>
      </c>
      <c r="Z51" s="17" t="s">
        <v>753</v>
      </c>
    </row>
    <row r="52" spans="1:26">
      <c r="A52" s="17">
        <v>2</v>
      </c>
      <c r="B52" s="14" t="s">
        <v>465</v>
      </c>
      <c r="C52" s="14"/>
      <c r="D52" s="14" t="s">
        <v>465</v>
      </c>
      <c r="E52" s="14" t="s">
        <v>465</v>
      </c>
      <c r="F52" s="14" t="s">
        <v>465</v>
      </c>
      <c r="G52" s="14" t="s">
        <v>947</v>
      </c>
      <c r="H52" s="14" t="s">
        <v>194</v>
      </c>
      <c r="I52" s="14"/>
      <c r="J52" s="14" t="s">
        <v>558</v>
      </c>
      <c r="K52" s="14" t="s">
        <v>513</v>
      </c>
      <c r="L52" s="14" t="s">
        <v>944</v>
      </c>
      <c r="M52" s="15" t="s">
        <v>946</v>
      </c>
      <c r="N52" s="14" t="s">
        <v>911</v>
      </c>
      <c r="O52" s="14" t="s">
        <v>700</v>
      </c>
      <c r="P52" s="14" t="s">
        <v>945</v>
      </c>
      <c r="Q52" s="14" t="s">
        <v>609</v>
      </c>
      <c r="R52" s="14" t="s">
        <v>465</v>
      </c>
      <c r="S52" s="14" t="s">
        <v>33</v>
      </c>
      <c r="T52" s="14" t="s">
        <v>465</v>
      </c>
      <c r="U52" s="14" t="s">
        <v>504</v>
      </c>
      <c r="V52" s="14" t="s">
        <v>465</v>
      </c>
      <c r="W52" s="14" t="s">
        <v>944</v>
      </c>
      <c r="X52" s="14" t="s">
        <v>944</v>
      </c>
      <c r="Y52" s="14" t="s">
        <v>790</v>
      </c>
      <c r="Z52" s="14" t="s">
        <v>798</v>
      </c>
    </row>
    <row r="53" spans="1:26">
      <c r="A53" s="17">
        <v>1</v>
      </c>
      <c r="B53" s="19" t="s">
        <v>146</v>
      </c>
      <c r="C53" s="19" t="s">
        <v>505</v>
      </c>
      <c r="D53" s="19" t="s">
        <v>142</v>
      </c>
      <c r="E53" s="19" t="s">
        <v>491</v>
      </c>
      <c r="F53" s="19" t="s">
        <v>465</v>
      </c>
      <c r="G53" s="19" t="s">
        <v>862</v>
      </c>
      <c r="H53" s="19" t="s">
        <v>943</v>
      </c>
      <c r="I53" s="19" t="s">
        <v>528</v>
      </c>
      <c r="J53" s="19" t="s">
        <v>485</v>
      </c>
      <c r="K53" s="19" t="s">
        <v>513</v>
      </c>
      <c r="L53" s="19" t="s">
        <v>941</v>
      </c>
      <c r="M53" s="21" t="s">
        <v>800</v>
      </c>
      <c r="N53" s="19" t="s">
        <v>465</v>
      </c>
      <c r="O53" s="19" t="s">
        <v>593</v>
      </c>
      <c r="P53" s="20" t="s">
        <v>942</v>
      </c>
      <c r="Q53" s="19" t="s">
        <v>832</v>
      </c>
      <c r="R53" s="19" t="s">
        <v>465</v>
      </c>
      <c r="S53" s="19" t="s">
        <v>490</v>
      </c>
      <c r="T53" s="19" t="s">
        <v>465</v>
      </c>
      <c r="U53" s="19" t="s">
        <v>159</v>
      </c>
      <c r="V53" s="19" t="s">
        <v>465</v>
      </c>
      <c r="W53" s="19" t="s">
        <v>465</v>
      </c>
      <c r="X53" s="19" t="s">
        <v>941</v>
      </c>
      <c r="Y53" s="19" t="s">
        <v>940</v>
      </c>
      <c r="Z53" s="19" t="s">
        <v>787</v>
      </c>
    </row>
    <row r="54" spans="1:26">
      <c r="A54" s="17">
        <v>0</v>
      </c>
      <c r="B54" s="17" t="s">
        <v>465</v>
      </c>
      <c r="C54" s="17"/>
      <c r="D54" s="17" t="s">
        <v>138</v>
      </c>
      <c r="E54" s="17" t="s">
        <v>521</v>
      </c>
      <c r="F54" s="17" t="s">
        <v>465</v>
      </c>
      <c r="G54" s="17" t="s">
        <v>199</v>
      </c>
      <c r="H54" s="17" t="s">
        <v>200</v>
      </c>
      <c r="I54" s="17"/>
      <c r="J54" s="17" t="s">
        <v>465</v>
      </c>
      <c r="K54" s="17" t="s">
        <v>465</v>
      </c>
      <c r="L54" s="17" t="s">
        <v>937</v>
      </c>
      <c r="M54" s="18" t="s">
        <v>939</v>
      </c>
      <c r="N54" s="17" t="s">
        <v>465</v>
      </c>
      <c r="O54" s="17" t="s">
        <v>484</v>
      </c>
      <c r="P54" s="22" t="s">
        <v>938</v>
      </c>
      <c r="Q54" s="17" t="s">
        <v>590</v>
      </c>
      <c r="R54" s="17" t="s">
        <v>465</v>
      </c>
      <c r="S54" s="17" t="s">
        <v>490</v>
      </c>
      <c r="T54" s="17" t="s">
        <v>465</v>
      </c>
      <c r="U54" s="17" t="s">
        <v>491</v>
      </c>
      <c r="V54" s="17" t="s">
        <v>465</v>
      </c>
      <c r="W54" s="17" t="s">
        <v>465</v>
      </c>
      <c r="X54" s="17" t="s">
        <v>937</v>
      </c>
      <c r="Y54" s="17" t="s">
        <v>937</v>
      </c>
      <c r="Z54" s="17" t="s">
        <v>937</v>
      </c>
    </row>
    <row r="55" spans="1:26">
      <c r="A55" s="17">
        <v>2</v>
      </c>
      <c r="B55" s="14" t="s">
        <v>465</v>
      </c>
      <c r="C55" s="14"/>
      <c r="D55" s="14" t="s">
        <v>465</v>
      </c>
      <c r="E55" s="14" t="s">
        <v>465</v>
      </c>
      <c r="F55" s="14" t="s">
        <v>465</v>
      </c>
      <c r="G55" s="14" t="s">
        <v>936</v>
      </c>
      <c r="H55" s="14" t="s">
        <v>192</v>
      </c>
      <c r="I55" s="14"/>
      <c r="J55" s="14" t="s">
        <v>485</v>
      </c>
      <c r="K55" s="14" t="s">
        <v>513</v>
      </c>
      <c r="L55" s="14" t="s">
        <v>553</v>
      </c>
      <c r="M55" s="15" t="s">
        <v>740</v>
      </c>
      <c r="N55" s="14" t="s">
        <v>673</v>
      </c>
      <c r="O55" s="14" t="s">
        <v>911</v>
      </c>
      <c r="P55" s="14" t="s">
        <v>935</v>
      </c>
      <c r="Q55" s="14" t="s">
        <v>682</v>
      </c>
      <c r="R55" s="14" t="s">
        <v>465</v>
      </c>
      <c r="S55" s="14" t="s">
        <v>33</v>
      </c>
      <c r="T55" s="14" t="s">
        <v>465</v>
      </c>
      <c r="U55" s="14" t="s">
        <v>533</v>
      </c>
      <c r="V55" s="14" t="s">
        <v>465</v>
      </c>
      <c r="W55" s="14" t="s">
        <v>553</v>
      </c>
      <c r="X55" s="14" t="s">
        <v>553</v>
      </c>
      <c r="Y55" s="14" t="s">
        <v>934</v>
      </c>
      <c r="Z55" s="14" t="s">
        <v>551</v>
      </c>
    </row>
    <row r="56" spans="1:26">
      <c r="A56" s="17">
        <v>1</v>
      </c>
      <c r="B56" s="19" t="s">
        <v>177</v>
      </c>
      <c r="C56" s="19" t="s">
        <v>505</v>
      </c>
      <c r="D56" s="19" t="s">
        <v>233</v>
      </c>
      <c r="E56" s="19" t="s">
        <v>491</v>
      </c>
      <c r="F56" s="19" t="s">
        <v>465</v>
      </c>
      <c r="G56" s="19" t="s">
        <v>933</v>
      </c>
      <c r="H56" s="19" t="s">
        <v>932</v>
      </c>
      <c r="I56" s="19" t="s">
        <v>528</v>
      </c>
      <c r="J56" s="19" t="s">
        <v>887</v>
      </c>
      <c r="K56" s="19" t="s">
        <v>513</v>
      </c>
      <c r="L56" s="19" t="s">
        <v>712</v>
      </c>
      <c r="M56" s="21" t="s">
        <v>800</v>
      </c>
      <c r="N56" s="19" t="s">
        <v>465</v>
      </c>
      <c r="O56" s="19" t="s">
        <v>577</v>
      </c>
      <c r="P56" s="20" t="s">
        <v>794</v>
      </c>
      <c r="Q56" s="19" t="s">
        <v>898</v>
      </c>
      <c r="R56" s="19" t="s">
        <v>465</v>
      </c>
      <c r="S56" s="19" t="s">
        <v>490</v>
      </c>
      <c r="T56" s="19" t="s">
        <v>465</v>
      </c>
      <c r="U56" s="19" t="s">
        <v>626</v>
      </c>
      <c r="V56" s="19" t="s">
        <v>465</v>
      </c>
      <c r="W56" s="19" t="s">
        <v>465</v>
      </c>
      <c r="X56" s="19" t="s">
        <v>712</v>
      </c>
      <c r="Y56" s="19" t="s">
        <v>913</v>
      </c>
      <c r="Z56" s="19" t="s">
        <v>711</v>
      </c>
    </row>
    <row r="57" spans="1:26">
      <c r="A57" s="17">
        <v>0</v>
      </c>
      <c r="B57" s="17" t="s">
        <v>465</v>
      </c>
      <c r="C57" s="17"/>
      <c r="D57" s="17" t="s">
        <v>105</v>
      </c>
      <c r="E57" s="17" t="s">
        <v>491</v>
      </c>
      <c r="F57" s="17" t="s">
        <v>465</v>
      </c>
      <c r="G57" s="17" t="s">
        <v>205</v>
      </c>
      <c r="H57" s="17" t="s">
        <v>206</v>
      </c>
      <c r="I57" s="17"/>
      <c r="J57" s="17" t="s">
        <v>465</v>
      </c>
      <c r="K57" s="17" t="s">
        <v>465</v>
      </c>
      <c r="L57" s="17" t="s">
        <v>630</v>
      </c>
      <c r="M57" s="18" t="s">
        <v>648</v>
      </c>
      <c r="N57" s="17" t="s">
        <v>465</v>
      </c>
      <c r="O57" s="17" t="s">
        <v>498</v>
      </c>
      <c r="P57" s="17" t="s">
        <v>465</v>
      </c>
      <c r="Q57" s="17" t="s">
        <v>513</v>
      </c>
      <c r="R57" s="17" t="s">
        <v>465</v>
      </c>
      <c r="S57" s="17" t="s">
        <v>490</v>
      </c>
      <c r="T57" s="17" t="s">
        <v>465</v>
      </c>
      <c r="U57" s="17" t="s">
        <v>529</v>
      </c>
      <c r="V57" s="17" t="s">
        <v>465</v>
      </c>
      <c r="W57" s="17" t="s">
        <v>465</v>
      </c>
      <c r="X57" s="17" t="s">
        <v>630</v>
      </c>
      <c r="Y57" s="17" t="s">
        <v>630</v>
      </c>
      <c r="Z57" s="17" t="s">
        <v>630</v>
      </c>
    </row>
    <row r="58" spans="1:26">
      <c r="A58" s="17">
        <v>2</v>
      </c>
      <c r="B58" s="14" t="s">
        <v>465</v>
      </c>
      <c r="C58" s="14"/>
      <c r="D58" s="14" t="s">
        <v>465</v>
      </c>
      <c r="E58" s="14" t="s">
        <v>465</v>
      </c>
      <c r="F58" s="14" t="s">
        <v>465</v>
      </c>
      <c r="G58" s="14" t="s">
        <v>922</v>
      </c>
      <c r="H58" s="14" t="s">
        <v>208</v>
      </c>
      <c r="I58" s="14"/>
      <c r="J58" s="14" t="s">
        <v>887</v>
      </c>
      <c r="K58" s="14" t="s">
        <v>513</v>
      </c>
      <c r="L58" s="14" t="s">
        <v>930</v>
      </c>
      <c r="M58" s="15" t="s">
        <v>931</v>
      </c>
      <c r="N58" s="14" t="s">
        <v>689</v>
      </c>
      <c r="O58" s="14" t="s">
        <v>577</v>
      </c>
      <c r="P58" s="14" t="s">
        <v>875</v>
      </c>
      <c r="Q58" s="14" t="s">
        <v>518</v>
      </c>
      <c r="R58" s="14" t="s">
        <v>465</v>
      </c>
      <c r="S58" s="14" t="s">
        <v>33</v>
      </c>
      <c r="T58" s="14" t="s">
        <v>465</v>
      </c>
      <c r="U58" s="14" t="s">
        <v>33</v>
      </c>
      <c r="V58" s="14" t="s">
        <v>465</v>
      </c>
      <c r="W58" s="14" t="s">
        <v>930</v>
      </c>
      <c r="X58" s="14" t="s">
        <v>930</v>
      </c>
      <c r="Y58" s="14" t="s">
        <v>929</v>
      </c>
      <c r="Z58" s="14" t="s">
        <v>928</v>
      </c>
    </row>
    <row r="59" spans="1:26">
      <c r="A59" s="17">
        <v>1</v>
      </c>
      <c r="B59" s="19" t="s">
        <v>124</v>
      </c>
      <c r="C59" s="19" t="s">
        <v>505</v>
      </c>
      <c r="D59" s="19" t="s">
        <v>41</v>
      </c>
      <c r="E59" s="19" t="s">
        <v>529</v>
      </c>
      <c r="F59" s="19" t="s">
        <v>465</v>
      </c>
      <c r="G59" s="19" t="s">
        <v>927</v>
      </c>
      <c r="H59" s="19" t="s">
        <v>926</v>
      </c>
      <c r="I59" s="19" t="s">
        <v>528</v>
      </c>
      <c r="J59" s="19" t="s">
        <v>539</v>
      </c>
      <c r="K59" s="19" t="s">
        <v>513</v>
      </c>
      <c r="L59" s="19" t="s">
        <v>711</v>
      </c>
      <c r="M59" s="21" t="s">
        <v>543</v>
      </c>
      <c r="N59" s="19" t="s">
        <v>465</v>
      </c>
      <c r="O59" s="19" t="s">
        <v>577</v>
      </c>
      <c r="P59" s="20" t="s">
        <v>925</v>
      </c>
      <c r="Q59" s="19" t="s">
        <v>545</v>
      </c>
      <c r="R59" s="19" t="s">
        <v>33</v>
      </c>
      <c r="S59" s="19" t="s">
        <v>490</v>
      </c>
      <c r="T59" s="19" t="s">
        <v>465</v>
      </c>
      <c r="U59" s="19" t="s">
        <v>626</v>
      </c>
      <c r="V59" s="19" t="s">
        <v>465</v>
      </c>
      <c r="W59" s="19" t="s">
        <v>465</v>
      </c>
      <c r="X59" s="19" t="s">
        <v>711</v>
      </c>
      <c r="Y59" s="19" t="s">
        <v>924</v>
      </c>
      <c r="Z59" s="19" t="s">
        <v>783</v>
      </c>
    </row>
    <row r="60" spans="1:26">
      <c r="A60" s="17">
        <v>0</v>
      </c>
      <c r="B60" s="17" t="s">
        <v>465</v>
      </c>
      <c r="C60" s="17"/>
      <c r="D60" s="17" t="s">
        <v>87</v>
      </c>
      <c r="E60" s="17" t="s">
        <v>491</v>
      </c>
      <c r="F60" s="17" t="s">
        <v>465</v>
      </c>
      <c r="G60" s="17" t="s">
        <v>213</v>
      </c>
      <c r="H60" s="17" t="s">
        <v>214</v>
      </c>
      <c r="I60" s="17"/>
      <c r="J60" s="17" t="s">
        <v>465</v>
      </c>
      <c r="K60" s="17" t="s">
        <v>465</v>
      </c>
      <c r="L60" s="17" t="s">
        <v>566</v>
      </c>
      <c r="M60" s="18" t="s">
        <v>661</v>
      </c>
      <c r="N60" s="17" t="s">
        <v>465</v>
      </c>
      <c r="O60" s="17" t="s">
        <v>660</v>
      </c>
      <c r="P60" s="22" t="s">
        <v>659</v>
      </c>
      <c r="Q60" s="17" t="s">
        <v>138</v>
      </c>
      <c r="R60" s="17" t="s">
        <v>41</v>
      </c>
      <c r="S60" s="17" t="s">
        <v>490</v>
      </c>
      <c r="T60" s="17" t="s">
        <v>465</v>
      </c>
      <c r="U60" s="17" t="s">
        <v>521</v>
      </c>
      <c r="V60" s="17" t="s">
        <v>465</v>
      </c>
      <c r="W60" s="17" t="s">
        <v>465</v>
      </c>
      <c r="X60" s="17" t="s">
        <v>566</v>
      </c>
      <c r="Y60" s="17" t="s">
        <v>566</v>
      </c>
      <c r="Z60" s="17" t="s">
        <v>566</v>
      </c>
    </row>
    <row r="61" spans="1:26">
      <c r="A61" s="17">
        <v>2</v>
      </c>
      <c r="B61" s="14" t="s">
        <v>465</v>
      </c>
      <c r="C61" s="14"/>
      <c r="D61" s="14" t="s">
        <v>465</v>
      </c>
      <c r="E61" s="14" t="s">
        <v>465</v>
      </c>
      <c r="F61" s="14" t="s">
        <v>465</v>
      </c>
      <c r="G61" s="14" t="s">
        <v>923</v>
      </c>
      <c r="H61" s="14" t="s">
        <v>217</v>
      </c>
      <c r="I61" s="14"/>
      <c r="J61" s="14" t="s">
        <v>539</v>
      </c>
      <c r="K61" s="14" t="s">
        <v>513</v>
      </c>
      <c r="L61" s="14" t="s">
        <v>573</v>
      </c>
      <c r="M61" s="15" t="s">
        <v>922</v>
      </c>
      <c r="N61" s="14" t="s">
        <v>921</v>
      </c>
      <c r="O61" s="14" t="s">
        <v>920</v>
      </c>
      <c r="P61" s="14" t="s">
        <v>575</v>
      </c>
      <c r="Q61" s="14" t="s">
        <v>159</v>
      </c>
      <c r="R61" s="14" t="s">
        <v>832</v>
      </c>
      <c r="S61" s="14" t="s">
        <v>33</v>
      </c>
      <c r="T61" s="14" t="s">
        <v>465</v>
      </c>
      <c r="U61" s="14" t="s">
        <v>233</v>
      </c>
      <c r="V61" s="14" t="s">
        <v>465</v>
      </c>
      <c r="W61" s="14" t="s">
        <v>573</v>
      </c>
      <c r="X61" s="14" t="s">
        <v>573</v>
      </c>
      <c r="Y61" s="14" t="s">
        <v>919</v>
      </c>
      <c r="Z61" s="14" t="s">
        <v>571</v>
      </c>
    </row>
    <row r="62" spans="1:26">
      <c r="A62" s="17">
        <v>1</v>
      </c>
      <c r="B62" s="19" t="s">
        <v>201</v>
      </c>
      <c r="C62" s="19" t="s">
        <v>505</v>
      </c>
      <c r="D62" s="19" t="s">
        <v>138</v>
      </c>
      <c r="E62" s="19" t="s">
        <v>521</v>
      </c>
      <c r="F62" s="19" t="s">
        <v>465</v>
      </c>
      <c r="G62" s="19" t="s">
        <v>918</v>
      </c>
      <c r="H62" s="19" t="s">
        <v>199</v>
      </c>
      <c r="I62" s="19" t="s">
        <v>528</v>
      </c>
      <c r="J62" s="19" t="s">
        <v>520</v>
      </c>
      <c r="K62" s="19" t="s">
        <v>513</v>
      </c>
      <c r="L62" s="19" t="s">
        <v>840</v>
      </c>
      <c r="M62" s="21" t="s">
        <v>917</v>
      </c>
      <c r="N62" s="19" t="s">
        <v>465</v>
      </c>
      <c r="O62" s="19" t="s">
        <v>138</v>
      </c>
      <c r="P62" s="20" t="s">
        <v>709</v>
      </c>
      <c r="Q62" s="19" t="s">
        <v>312</v>
      </c>
      <c r="R62" s="19" t="s">
        <v>465</v>
      </c>
      <c r="S62" s="19" t="s">
        <v>490</v>
      </c>
      <c r="T62" s="19" t="s">
        <v>465</v>
      </c>
      <c r="U62" s="19" t="s">
        <v>626</v>
      </c>
      <c r="V62" s="19" t="s">
        <v>465</v>
      </c>
      <c r="W62" s="19" t="s">
        <v>465</v>
      </c>
      <c r="X62" s="19" t="s">
        <v>840</v>
      </c>
      <c r="Y62" s="19" t="s">
        <v>619</v>
      </c>
      <c r="Z62" s="19" t="s">
        <v>916</v>
      </c>
    </row>
    <row r="63" spans="1:26">
      <c r="A63" s="17">
        <v>0</v>
      </c>
      <c r="B63" s="17" t="s">
        <v>465</v>
      </c>
      <c r="C63" s="17"/>
      <c r="D63" s="17" t="s">
        <v>138</v>
      </c>
      <c r="E63" s="17" t="s">
        <v>490</v>
      </c>
      <c r="F63" s="17" t="s">
        <v>465</v>
      </c>
      <c r="G63" s="17" t="s">
        <v>221</v>
      </c>
      <c r="H63" s="17" t="s">
        <v>222</v>
      </c>
      <c r="I63" s="17"/>
      <c r="J63" s="17" t="s">
        <v>465</v>
      </c>
      <c r="K63" s="17" t="s">
        <v>465</v>
      </c>
      <c r="L63" s="17" t="s">
        <v>913</v>
      </c>
      <c r="M63" s="18" t="s">
        <v>915</v>
      </c>
      <c r="N63" s="17" t="s">
        <v>465</v>
      </c>
      <c r="O63" s="17" t="s">
        <v>581</v>
      </c>
      <c r="P63" s="22" t="s">
        <v>914</v>
      </c>
      <c r="Q63" s="17" t="s">
        <v>577</v>
      </c>
      <c r="R63" s="17" t="s">
        <v>465</v>
      </c>
      <c r="S63" s="17" t="s">
        <v>490</v>
      </c>
      <c r="T63" s="17" t="s">
        <v>465</v>
      </c>
      <c r="U63" s="17" t="s">
        <v>491</v>
      </c>
      <c r="V63" s="17" t="s">
        <v>465</v>
      </c>
      <c r="W63" s="17" t="s">
        <v>465</v>
      </c>
      <c r="X63" s="17" t="s">
        <v>913</v>
      </c>
      <c r="Y63" s="17" t="s">
        <v>913</v>
      </c>
      <c r="Z63" s="17" t="s">
        <v>913</v>
      </c>
    </row>
    <row r="64" spans="1:26">
      <c r="A64" s="17">
        <v>2</v>
      </c>
      <c r="B64" s="14" t="s">
        <v>465</v>
      </c>
      <c r="C64" s="14"/>
      <c r="D64" s="14" t="s">
        <v>465</v>
      </c>
      <c r="E64" s="14" t="s">
        <v>465</v>
      </c>
      <c r="F64" s="14" t="s">
        <v>465</v>
      </c>
      <c r="G64" s="14" t="s">
        <v>912</v>
      </c>
      <c r="H64" s="14" t="s">
        <v>224</v>
      </c>
      <c r="I64" s="14"/>
      <c r="J64" s="14" t="s">
        <v>520</v>
      </c>
      <c r="K64" s="14" t="s">
        <v>513</v>
      </c>
      <c r="L64" s="14" t="s">
        <v>608</v>
      </c>
      <c r="M64" s="15" t="s">
        <v>506</v>
      </c>
      <c r="N64" s="14" t="s">
        <v>911</v>
      </c>
      <c r="O64" s="14" t="s">
        <v>554</v>
      </c>
      <c r="P64" s="14" t="s">
        <v>910</v>
      </c>
      <c r="Q64" s="14" t="s">
        <v>909</v>
      </c>
      <c r="R64" s="14" t="s">
        <v>465</v>
      </c>
      <c r="S64" s="14" t="s">
        <v>33</v>
      </c>
      <c r="T64" s="14" t="s">
        <v>465</v>
      </c>
      <c r="U64" s="14" t="s">
        <v>504</v>
      </c>
      <c r="V64" s="14" t="s">
        <v>465</v>
      </c>
      <c r="W64" s="14" t="s">
        <v>608</v>
      </c>
      <c r="X64" s="14" t="s">
        <v>608</v>
      </c>
      <c r="Y64" s="14" t="s">
        <v>531</v>
      </c>
      <c r="Z64" s="14" t="s">
        <v>606</v>
      </c>
    </row>
    <row r="65" spans="1:26">
      <c r="A65" s="17">
        <v>1</v>
      </c>
      <c r="B65" s="19" t="s">
        <v>39</v>
      </c>
      <c r="C65" s="19" t="s">
        <v>505</v>
      </c>
      <c r="D65" s="19" t="s">
        <v>534</v>
      </c>
      <c r="E65" s="19" t="s">
        <v>491</v>
      </c>
      <c r="F65" s="19" t="s">
        <v>465</v>
      </c>
      <c r="G65" s="19" t="s">
        <v>716</v>
      </c>
      <c r="H65" s="19" t="s">
        <v>653</v>
      </c>
      <c r="I65" s="19" t="s">
        <v>465</v>
      </c>
      <c r="J65" s="19" t="s">
        <v>465</v>
      </c>
      <c r="K65" s="19" t="s">
        <v>465</v>
      </c>
      <c r="L65" s="19" t="s">
        <v>907</v>
      </c>
      <c r="M65" s="21" t="s">
        <v>908</v>
      </c>
      <c r="N65" s="19" t="s">
        <v>465</v>
      </c>
      <c r="O65" s="19" t="s">
        <v>498</v>
      </c>
      <c r="P65" s="19" t="s">
        <v>465</v>
      </c>
      <c r="Q65" s="19" t="s">
        <v>504</v>
      </c>
      <c r="R65" s="19" t="s">
        <v>465</v>
      </c>
      <c r="S65" s="19" t="s">
        <v>637</v>
      </c>
      <c r="T65" s="19" t="s">
        <v>465</v>
      </c>
      <c r="U65" s="19" t="s">
        <v>898</v>
      </c>
      <c r="V65" s="19" t="s">
        <v>465</v>
      </c>
      <c r="W65" s="19" t="s">
        <v>465</v>
      </c>
      <c r="X65" s="19" t="s">
        <v>907</v>
      </c>
      <c r="Y65" s="19" t="s">
        <v>907</v>
      </c>
      <c r="Z65" s="19" t="s">
        <v>907</v>
      </c>
    </row>
    <row r="66" spans="1:26">
      <c r="A66" s="17">
        <v>0</v>
      </c>
      <c r="B66" s="17" t="s">
        <v>465</v>
      </c>
      <c r="C66" s="17"/>
      <c r="D66" s="17" t="s">
        <v>138</v>
      </c>
      <c r="E66" s="17" t="s">
        <v>491</v>
      </c>
      <c r="F66" s="17" t="s">
        <v>465</v>
      </c>
      <c r="G66" s="17" t="s">
        <v>641</v>
      </c>
      <c r="H66" s="17" t="s">
        <v>810</v>
      </c>
      <c r="I66" s="17"/>
      <c r="J66" s="17" t="s">
        <v>729</v>
      </c>
      <c r="K66" s="17" t="s">
        <v>513</v>
      </c>
      <c r="L66" s="17" t="s">
        <v>527</v>
      </c>
      <c r="M66" s="18" t="s">
        <v>778</v>
      </c>
      <c r="N66" s="17" t="s">
        <v>465</v>
      </c>
      <c r="O66" s="17" t="s">
        <v>138</v>
      </c>
      <c r="P66" s="22" t="s">
        <v>709</v>
      </c>
      <c r="Q66" s="17" t="s">
        <v>484</v>
      </c>
      <c r="R66" s="17" t="s">
        <v>465</v>
      </c>
      <c r="S66" s="17" t="s">
        <v>465</v>
      </c>
      <c r="T66" s="17" t="s">
        <v>465</v>
      </c>
      <c r="U66" s="17" t="s">
        <v>521</v>
      </c>
      <c r="V66" s="17" t="s">
        <v>465</v>
      </c>
      <c r="W66" s="17" t="s">
        <v>465</v>
      </c>
      <c r="X66" s="17" t="s">
        <v>527</v>
      </c>
      <c r="Y66" s="17" t="s">
        <v>906</v>
      </c>
      <c r="Z66" s="17" t="s">
        <v>777</v>
      </c>
    </row>
    <row r="67" spans="1:26">
      <c r="A67" s="17">
        <v>0</v>
      </c>
      <c r="B67" s="17" t="s">
        <v>465</v>
      </c>
      <c r="C67" s="17"/>
      <c r="D67" s="17" t="s">
        <v>81</v>
      </c>
      <c r="E67" s="17" t="s">
        <v>491</v>
      </c>
      <c r="F67" s="17" t="s">
        <v>465</v>
      </c>
      <c r="G67" s="17" t="s">
        <v>229</v>
      </c>
      <c r="H67" s="17" t="s">
        <v>230</v>
      </c>
      <c r="I67" s="17"/>
      <c r="J67" s="17" t="s">
        <v>465</v>
      </c>
      <c r="K67" s="17" t="s">
        <v>465</v>
      </c>
      <c r="L67" s="17" t="s">
        <v>744</v>
      </c>
      <c r="M67" s="18" t="s">
        <v>905</v>
      </c>
      <c r="N67" s="17" t="s">
        <v>465</v>
      </c>
      <c r="O67" s="17" t="s">
        <v>611</v>
      </c>
      <c r="P67" s="22" t="s">
        <v>621</v>
      </c>
      <c r="Q67" s="17" t="s">
        <v>138</v>
      </c>
      <c r="R67" s="17" t="s">
        <v>626</v>
      </c>
      <c r="S67" s="17" t="s">
        <v>490</v>
      </c>
      <c r="T67" s="17" t="s">
        <v>465</v>
      </c>
      <c r="U67" s="17" t="s">
        <v>521</v>
      </c>
      <c r="V67" s="17" t="s">
        <v>465</v>
      </c>
      <c r="W67" s="17" t="s">
        <v>465</v>
      </c>
      <c r="X67" s="17" t="s">
        <v>744</v>
      </c>
      <c r="Y67" s="17" t="s">
        <v>744</v>
      </c>
      <c r="Z67" s="17" t="s">
        <v>744</v>
      </c>
    </row>
    <row r="68" spans="1:26">
      <c r="A68" s="17">
        <v>2</v>
      </c>
      <c r="B68" s="14" t="s">
        <v>465</v>
      </c>
      <c r="C68" s="14"/>
      <c r="D68" s="14" t="s">
        <v>465</v>
      </c>
      <c r="E68" s="14" t="s">
        <v>465</v>
      </c>
      <c r="F68" s="14" t="s">
        <v>465</v>
      </c>
      <c r="G68" s="14" t="s">
        <v>904</v>
      </c>
      <c r="H68" s="14" t="s">
        <v>231</v>
      </c>
      <c r="I68" s="14"/>
      <c r="J68" s="14" t="s">
        <v>729</v>
      </c>
      <c r="K68" s="14" t="s">
        <v>513</v>
      </c>
      <c r="L68" s="14" t="s">
        <v>487</v>
      </c>
      <c r="M68" s="15" t="s">
        <v>903</v>
      </c>
      <c r="N68" s="14" t="s">
        <v>511</v>
      </c>
      <c r="O68" s="14" t="s">
        <v>574</v>
      </c>
      <c r="P68" s="14" t="s">
        <v>902</v>
      </c>
      <c r="Q68" s="14" t="s">
        <v>549</v>
      </c>
      <c r="R68" s="14" t="s">
        <v>626</v>
      </c>
      <c r="S68" s="14" t="s">
        <v>901</v>
      </c>
      <c r="T68" s="14" t="s">
        <v>465</v>
      </c>
      <c r="U68" s="14" t="s">
        <v>675</v>
      </c>
      <c r="V68" s="14" t="s">
        <v>465</v>
      </c>
      <c r="W68" s="14" t="s">
        <v>487</v>
      </c>
      <c r="X68" s="14" t="s">
        <v>487</v>
      </c>
      <c r="Y68" s="14" t="s">
        <v>817</v>
      </c>
      <c r="Z68" s="14" t="s">
        <v>900</v>
      </c>
    </row>
    <row r="69" spans="1:26">
      <c r="A69" s="17">
        <v>1</v>
      </c>
      <c r="B69" s="19" t="s">
        <v>93</v>
      </c>
      <c r="C69" s="19" t="s">
        <v>505</v>
      </c>
      <c r="D69" s="19" t="s">
        <v>233</v>
      </c>
      <c r="E69" s="19" t="s">
        <v>529</v>
      </c>
      <c r="F69" s="19" t="s">
        <v>465</v>
      </c>
      <c r="G69" s="19" t="s">
        <v>793</v>
      </c>
      <c r="H69" s="19" t="s">
        <v>236</v>
      </c>
      <c r="I69" s="19" t="s">
        <v>528</v>
      </c>
      <c r="J69" s="19" t="s">
        <v>480</v>
      </c>
      <c r="K69" s="19" t="s">
        <v>513</v>
      </c>
      <c r="L69" s="19" t="s">
        <v>897</v>
      </c>
      <c r="M69" s="21" t="s">
        <v>677</v>
      </c>
      <c r="N69" s="19" t="s">
        <v>465</v>
      </c>
      <c r="O69" s="19" t="s">
        <v>537</v>
      </c>
      <c r="P69" s="20" t="s">
        <v>899</v>
      </c>
      <c r="Q69" s="19" t="s">
        <v>898</v>
      </c>
      <c r="R69" s="19" t="s">
        <v>465</v>
      </c>
      <c r="S69" s="19" t="s">
        <v>490</v>
      </c>
      <c r="T69" s="19" t="s">
        <v>465</v>
      </c>
      <c r="U69" s="19" t="s">
        <v>626</v>
      </c>
      <c r="V69" s="19" t="s">
        <v>465</v>
      </c>
      <c r="W69" s="19" t="s">
        <v>465</v>
      </c>
      <c r="X69" s="19" t="s">
        <v>897</v>
      </c>
      <c r="Y69" s="19" t="s">
        <v>896</v>
      </c>
      <c r="Z69" s="19" t="s">
        <v>776</v>
      </c>
    </row>
    <row r="70" spans="1:26">
      <c r="A70" s="17">
        <v>0</v>
      </c>
      <c r="B70" s="17" t="s">
        <v>465</v>
      </c>
      <c r="C70" s="17"/>
      <c r="D70" s="17" t="s">
        <v>87</v>
      </c>
      <c r="E70" s="17" t="s">
        <v>529</v>
      </c>
      <c r="F70" s="17" t="s">
        <v>465</v>
      </c>
      <c r="G70" s="17" t="s">
        <v>91</v>
      </c>
      <c r="H70" s="17" t="s">
        <v>231</v>
      </c>
      <c r="I70" s="17"/>
      <c r="J70" s="17" t="s">
        <v>465</v>
      </c>
      <c r="K70" s="17" t="s">
        <v>465</v>
      </c>
      <c r="L70" s="17" t="s">
        <v>744</v>
      </c>
      <c r="M70" s="18" t="s">
        <v>489</v>
      </c>
      <c r="N70" s="17" t="s">
        <v>465</v>
      </c>
      <c r="O70" s="17" t="s">
        <v>513</v>
      </c>
      <c r="P70" s="22" t="s">
        <v>657</v>
      </c>
      <c r="Q70" s="17" t="s">
        <v>545</v>
      </c>
      <c r="R70" s="17" t="s">
        <v>626</v>
      </c>
      <c r="S70" s="17" t="s">
        <v>490</v>
      </c>
      <c r="T70" s="17" t="s">
        <v>465</v>
      </c>
      <c r="U70" s="17" t="s">
        <v>521</v>
      </c>
      <c r="V70" s="17" t="s">
        <v>465</v>
      </c>
      <c r="W70" s="17" t="s">
        <v>465</v>
      </c>
      <c r="X70" s="17" t="s">
        <v>744</v>
      </c>
      <c r="Y70" s="17" t="s">
        <v>744</v>
      </c>
      <c r="Z70" s="17" t="s">
        <v>744</v>
      </c>
    </row>
    <row r="71" spans="1:26">
      <c r="A71" s="17">
        <v>2</v>
      </c>
      <c r="B71" s="14" t="s">
        <v>465</v>
      </c>
      <c r="C71" s="14"/>
      <c r="D71" s="14" t="s">
        <v>465</v>
      </c>
      <c r="E71" s="14" t="s">
        <v>465</v>
      </c>
      <c r="F71" s="14" t="s">
        <v>465</v>
      </c>
      <c r="G71" s="14" t="s">
        <v>817</v>
      </c>
      <c r="H71" s="14" t="s">
        <v>239</v>
      </c>
      <c r="I71" s="14"/>
      <c r="J71" s="14" t="s">
        <v>480</v>
      </c>
      <c r="K71" s="14" t="s">
        <v>513</v>
      </c>
      <c r="L71" s="14" t="s">
        <v>893</v>
      </c>
      <c r="M71" s="15" t="s">
        <v>655</v>
      </c>
      <c r="N71" s="14" t="s">
        <v>312</v>
      </c>
      <c r="O71" s="14" t="s">
        <v>895</v>
      </c>
      <c r="P71" s="14" t="s">
        <v>894</v>
      </c>
      <c r="Q71" s="14" t="s">
        <v>675</v>
      </c>
      <c r="R71" s="14" t="s">
        <v>626</v>
      </c>
      <c r="S71" s="14" t="s">
        <v>33</v>
      </c>
      <c r="T71" s="14" t="s">
        <v>465</v>
      </c>
      <c r="U71" s="14" t="s">
        <v>233</v>
      </c>
      <c r="V71" s="14" t="s">
        <v>465</v>
      </c>
      <c r="W71" s="14" t="s">
        <v>893</v>
      </c>
      <c r="X71" s="14" t="s">
        <v>893</v>
      </c>
      <c r="Y71" s="14" t="s">
        <v>892</v>
      </c>
      <c r="Z71" s="14" t="s">
        <v>760</v>
      </c>
    </row>
    <row r="72" spans="1:26">
      <c r="A72" s="17">
        <v>1</v>
      </c>
      <c r="B72" s="19" t="s">
        <v>154</v>
      </c>
      <c r="C72" s="19" t="s">
        <v>505</v>
      </c>
      <c r="D72" s="19" t="s">
        <v>81</v>
      </c>
      <c r="E72" s="19" t="s">
        <v>521</v>
      </c>
      <c r="F72" s="19" t="s">
        <v>465</v>
      </c>
      <c r="G72" s="19" t="s">
        <v>740</v>
      </c>
      <c r="H72" s="19" t="s">
        <v>891</v>
      </c>
      <c r="I72" s="19" t="s">
        <v>528</v>
      </c>
      <c r="J72" s="19" t="s">
        <v>887</v>
      </c>
      <c r="K72" s="19" t="s">
        <v>513</v>
      </c>
      <c r="L72" s="19" t="s">
        <v>890</v>
      </c>
      <c r="M72" s="21" t="s">
        <v>771</v>
      </c>
      <c r="N72" s="19" t="s">
        <v>465</v>
      </c>
      <c r="O72" s="19" t="s">
        <v>611</v>
      </c>
      <c r="P72" s="20" t="s">
        <v>621</v>
      </c>
      <c r="Q72" s="19" t="s">
        <v>596</v>
      </c>
      <c r="R72" s="19" t="s">
        <v>138</v>
      </c>
      <c r="S72" s="19" t="s">
        <v>490</v>
      </c>
      <c r="T72" s="19" t="s">
        <v>465</v>
      </c>
      <c r="U72" s="19" t="s">
        <v>626</v>
      </c>
      <c r="V72" s="19" t="s">
        <v>465</v>
      </c>
      <c r="W72" s="19" t="s">
        <v>465</v>
      </c>
      <c r="X72" s="19" t="s">
        <v>890</v>
      </c>
      <c r="Y72" s="19" t="s">
        <v>889</v>
      </c>
      <c r="Z72" s="19" t="s">
        <v>602</v>
      </c>
    </row>
    <row r="73" spans="1:26">
      <c r="A73" s="17">
        <v>0</v>
      </c>
      <c r="B73" s="17" t="s">
        <v>465</v>
      </c>
      <c r="C73" s="17"/>
      <c r="D73" s="17" t="s">
        <v>233</v>
      </c>
      <c r="E73" s="17" t="s">
        <v>529</v>
      </c>
      <c r="F73" s="17" t="s">
        <v>465</v>
      </c>
      <c r="G73" s="17" t="s">
        <v>236</v>
      </c>
      <c r="H73" s="17" t="s">
        <v>243</v>
      </c>
      <c r="I73" s="17"/>
      <c r="J73" s="17" t="s">
        <v>465</v>
      </c>
      <c r="K73" s="17" t="s">
        <v>465</v>
      </c>
      <c r="L73" s="17" t="s">
        <v>762</v>
      </c>
      <c r="M73" s="18" t="s">
        <v>888</v>
      </c>
      <c r="N73" s="17" t="s">
        <v>465</v>
      </c>
      <c r="O73" s="17" t="s">
        <v>574</v>
      </c>
      <c r="P73" s="22" t="s">
        <v>738</v>
      </c>
      <c r="Q73" s="17" t="s">
        <v>511</v>
      </c>
      <c r="R73" s="17" t="s">
        <v>465</v>
      </c>
      <c r="S73" s="17" t="s">
        <v>490</v>
      </c>
      <c r="T73" s="17" t="s">
        <v>465</v>
      </c>
      <c r="U73" s="17" t="s">
        <v>521</v>
      </c>
      <c r="V73" s="17" t="s">
        <v>465</v>
      </c>
      <c r="W73" s="17" t="s">
        <v>465</v>
      </c>
      <c r="X73" s="17" t="s">
        <v>762</v>
      </c>
      <c r="Y73" s="17" t="s">
        <v>762</v>
      </c>
      <c r="Z73" s="17" t="s">
        <v>762</v>
      </c>
    </row>
    <row r="74" spans="1:26">
      <c r="A74" s="17">
        <v>2</v>
      </c>
      <c r="B74" s="14" t="s">
        <v>465</v>
      </c>
      <c r="C74" s="14"/>
      <c r="D74" s="14" t="s">
        <v>465</v>
      </c>
      <c r="E74" s="14" t="s">
        <v>465</v>
      </c>
      <c r="F74" s="14" t="s">
        <v>465</v>
      </c>
      <c r="G74" s="14" t="s">
        <v>801</v>
      </c>
      <c r="H74" s="14" t="s">
        <v>245</v>
      </c>
      <c r="I74" s="14"/>
      <c r="J74" s="14" t="s">
        <v>887</v>
      </c>
      <c r="K74" s="14" t="s">
        <v>513</v>
      </c>
      <c r="L74" s="14" t="s">
        <v>885</v>
      </c>
      <c r="M74" s="15" t="s">
        <v>886</v>
      </c>
      <c r="N74" s="14" t="s">
        <v>689</v>
      </c>
      <c r="O74" s="14" t="s">
        <v>660</v>
      </c>
      <c r="P74" s="14" t="s">
        <v>875</v>
      </c>
      <c r="Q74" s="14" t="s">
        <v>722</v>
      </c>
      <c r="R74" s="14" t="s">
        <v>138</v>
      </c>
      <c r="S74" s="14" t="s">
        <v>33</v>
      </c>
      <c r="T74" s="14" t="s">
        <v>465</v>
      </c>
      <c r="U74" s="14" t="s">
        <v>233</v>
      </c>
      <c r="V74" s="14" t="s">
        <v>465</v>
      </c>
      <c r="W74" s="14" t="s">
        <v>885</v>
      </c>
      <c r="X74" s="14" t="s">
        <v>885</v>
      </c>
      <c r="Y74" s="14" t="s">
        <v>884</v>
      </c>
      <c r="Z74" s="14" t="s">
        <v>883</v>
      </c>
    </row>
    <row r="75" spans="1:26">
      <c r="A75" s="17">
        <v>1</v>
      </c>
      <c r="B75" s="19" t="s">
        <v>882</v>
      </c>
      <c r="C75" s="19" t="s">
        <v>796</v>
      </c>
      <c r="D75" s="19" t="s">
        <v>81</v>
      </c>
      <c r="E75" s="19" t="s">
        <v>570</v>
      </c>
      <c r="F75" s="19" t="s">
        <v>465</v>
      </c>
      <c r="G75" s="19" t="s">
        <v>881</v>
      </c>
      <c r="H75" s="19" t="s">
        <v>672</v>
      </c>
      <c r="I75" s="19" t="s">
        <v>465</v>
      </c>
      <c r="J75" s="19" t="s">
        <v>465</v>
      </c>
      <c r="K75" s="19" t="s">
        <v>465</v>
      </c>
      <c r="L75" s="19" t="s">
        <v>880</v>
      </c>
      <c r="M75" s="21" t="s">
        <v>771</v>
      </c>
      <c r="N75" s="19" t="s">
        <v>465</v>
      </c>
      <c r="O75" s="19" t="s">
        <v>138</v>
      </c>
      <c r="P75" s="20" t="s">
        <v>709</v>
      </c>
      <c r="Q75" s="19" t="s">
        <v>632</v>
      </c>
      <c r="R75" s="19" t="s">
        <v>138</v>
      </c>
      <c r="S75" s="19" t="s">
        <v>33</v>
      </c>
      <c r="T75" s="19" t="s">
        <v>465</v>
      </c>
      <c r="U75" s="19" t="s">
        <v>33</v>
      </c>
      <c r="V75" s="19" t="s">
        <v>465</v>
      </c>
      <c r="W75" s="19" t="s">
        <v>465</v>
      </c>
      <c r="X75" s="19" t="s">
        <v>880</v>
      </c>
      <c r="Y75" s="19" t="s">
        <v>880</v>
      </c>
      <c r="Z75" s="19" t="s">
        <v>880</v>
      </c>
    </row>
    <row r="76" spans="1:26">
      <c r="A76" s="17">
        <v>0</v>
      </c>
      <c r="B76" s="17" t="s">
        <v>465</v>
      </c>
      <c r="C76" s="17"/>
      <c r="D76" s="17" t="s">
        <v>138</v>
      </c>
      <c r="E76" s="17" t="s">
        <v>570</v>
      </c>
      <c r="F76" s="17" t="s">
        <v>465</v>
      </c>
      <c r="G76" s="17" t="s">
        <v>75</v>
      </c>
      <c r="H76" s="17" t="s">
        <v>252</v>
      </c>
      <c r="I76" s="17" t="s">
        <v>465</v>
      </c>
      <c r="J76" s="17" t="s">
        <v>465</v>
      </c>
      <c r="K76" s="17" t="s">
        <v>465</v>
      </c>
      <c r="L76" s="17" t="s">
        <v>580</v>
      </c>
      <c r="M76" s="18" t="s">
        <v>879</v>
      </c>
      <c r="N76" s="17" t="s">
        <v>465</v>
      </c>
      <c r="O76" s="17" t="s">
        <v>33</v>
      </c>
      <c r="P76" s="22" t="s">
        <v>706</v>
      </c>
      <c r="Q76" s="17" t="s">
        <v>577</v>
      </c>
      <c r="R76" s="17" t="s">
        <v>465</v>
      </c>
      <c r="S76" s="17" t="s">
        <v>33</v>
      </c>
      <c r="T76" s="17" t="s">
        <v>465</v>
      </c>
      <c r="U76" s="17" t="s">
        <v>465</v>
      </c>
      <c r="V76" s="17" t="s">
        <v>465</v>
      </c>
      <c r="W76" s="17" t="s">
        <v>465</v>
      </c>
      <c r="X76" s="17" t="s">
        <v>580</v>
      </c>
      <c r="Y76" s="17" t="s">
        <v>580</v>
      </c>
      <c r="Z76" s="17" t="s">
        <v>580</v>
      </c>
    </row>
    <row r="77" spans="1:26">
      <c r="A77" s="17">
        <v>2</v>
      </c>
      <c r="B77" s="14" t="s">
        <v>465</v>
      </c>
      <c r="C77" s="14"/>
      <c r="D77" s="14" t="s">
        <v>465</v>
      </c>
      <c r="E77" s="14" t="s">
        <v>465</v>
      </c>
      <c r="F77" s="14" t="s">
        <v>465</v>
      </c>
      <c r="G77" s="14" t="s">
        <v>878</v>
      </c>
      <c r="H77" s="14" t="s">
        <v>255</v>
      </c>
      <c r="I77" s="14"/>
      <c r="J77" s="14" t="s">
        <v>465</v>
      </c>
      <c r="K77" s="14" t="s">
        <v>465</v>
      </c>
      <c r="L77" s="14" t="s">
        <v>613</v>
      </c>
      <c r="M77" s="15" t="s">
        <v>877</v>
      </c>
      <c r="N77" s="14" t="s">
        <v>876</v>
      </c>
      <c r="O77" s="14" t="s">
        <v>637</v>
      </c>
      <c r="P77" s="14" t="s">
        <v>875</v>
      </c>
      <c r="Q77" s="14" t="s">
        <v>874</v>
      </c>
      <c r="R77" s="14" t="s">
        <v>138</v>
      </c>
      <c r="S77" s="14" t="s">
        <v>581</v>
      </c>
      <c r="T77" s="14" t="s">
        <v>465</v>
      </c>
      <c r="U77" s="14" t="s">
        <v>33</v>
      </c>
      <c r="V77" s="14" t="s">
        <v>465</v>
      </c>
      <c r="W77" s="14" t="s">
        <v>873</v>
      </c>
      <c r="X77" s="14" t="s">
        <v>613</v>
      </c>
      <c r="Y77" s="14" t="s">
        <v>613</v>
      </c>
      <c r="Z77" s="14" t="s">
        <v>613</v>
      </c>
    </row>
    <row r="78" spans="1:26">
      <c r="A78" s="17">
        <v>1</v>
      </c>
      <c r="B78" s="19" t="s">
        <v>872</v>
      </c>
      <c r="C78" s="19" t="s">
        <v>796</v>
      </c>
      <c r="D78" s="19" t="s">
        <v>233</v>
      </c>
      <c r="E78" s="19" t="s">
        <v>521</v>
      </c>
      <c r="F78" s="19" t="s">
        <v>465</v>
      </c>
      <c r="G78" s="19" t="s">
        <v>871</v>
      </c>
      <c r="H78" s="19" t="s">
        <v>261</v>
      </c>
      <c r="I78" s="19" t="s">
        <v>465</v>
      </c>
      <c r="J78" s="19" t="s">
        <v>465</v>
      </c>
      <c r="K78" s="19" t="s">
        <v>465</v>
      </c>
      <c r="L78" s="19" t="s">
        <v>483</v>
      </c>
      <c r="M78" s="21" t="s">
        <v>870</v>
      </c>
      <c r="N78" s="19" t="s">
        <v>465</v>
      </c>
      <c r="O78" s="19" t="s">
        <v>518</v>
      </c>
      <c r="P78" s="20" t="s">
        <v>869</v>
      </c>
      <c r="Q78" s="19" t="s">
        <v>574</v>
      </c>
      <c r="R78" s="19" t="s">
        <v>465</v>
      </c>
      <c r="S78" s="19" t="s">
        <v>33</v>
      </c>
      <c r="T78" s="19" t="s">
        <v>465</v>
      </c>
      <c r="U78" s="19" t="s">
        <v>33</v>
      </c>
      <c r="V78" s="19" t="s">
        <v>465</v>
      </c>
      <c r="W78" s="19" t="s">
        <v>465</v>
      </c>
      <c r="X78" s="19" t="s">
        <v>483</v>
      </c>
      <c r="Y78" s="19" t="s">
        <v>483</v>
      </c>
      <c r="Z78" s="19" t="s">
        <v>483</v>
      </c>
    </row>
    <row r="79" spans="1:26">
      <c r="A79" s="17">
        <v>0</v>
      </c>
      <c r="B79" s="17" t="s">
        <v>465</v>
      </c>
      <c r="C79" s="17"/>
      <c r="D79" s="17" t="s">
        <v>233</v>
      </c>
      <c r="E79" s="17" t="s">
        <v>490</v>
      </c>
      <c r="F79" s="17" t="s">
        <v>465</v>
      </c>
      <c r="G79" s="17" t="s">
        <v>265</v>
      </c>
      <c r="H79" s="17" t="s">
        <v>266</v>
      </c>
      <c r="I79" s="17" t="s">
        <v>465</v>
      </c>
      <c r="J79" s="17" t="s">
        <v>465</v>
      </c>
      <c r="K79" s="17" t="s">
        <v>465</v>
      </c>
      <c r="L79" s="17" t="s">
        <v>727</v>
      </c>
      <c r="M79" s="18" t="s">
        <v>519</v>
      </c>
      <c r="N79" s="17" t="s">
        <v>465</v>
      </c>
      <c r="O79" s="17" t="s">
        <v>632</v>
      </c>
      <c r="P79" s="22" t="s">
        <v>631</v>
      </c>
      <c r="Q79" s="17" t="s">
        <v>233</v>
      </c>
      <c r="R79" s="17" t="s">
        <v>465</v>
      </c>
      <c r="S79" s="17" t="s">
        <v>33</v>
      </c>
      <c r="T79" s="17" t="s">
        <v>465</v>
      </c>
      <c r="U79" s="17" t="s">
        <v>490</v>
      </c>
      <c r="V79" s="17" t="s">
        <v>465</v>
      </c>
      <c r="W79" s="17" t="s">
        <v>465</v>
      </c>
      <c r="X79" s="17" t="s">
        <v>727</v>
      </c>
      <c r="Y79" s="17" t="s">
        <v>727</v>
      </c>
      <c r="Z79" s="17" t="s">
        <v>727</v>
      </c>
    </row>
    <row r="80" spans="1:26">
      <c r="A80" s="17">
        <v>2</v>
      </c>
      <c r="B80" s="14" t="s">
        <v>465</v>
      </c>
      <c r="C80" s="14"/>
      <c r="D80" s="14" t="s">
        <v>465</v>
      </c>
      <c r="E80" s="14" t="s">
        <v>465</v>
      </c>
      <c r="F80" s="14" t="s">
        <v>465</v>
      </c>
      <c r="G80" s="14" t="s">
        <v>620</v>
      </c>
      <c r="H80" s="14" t="s">
        <v>268</v>
      </c>
      <c r="I80" s="14"/>
      <c r="J80" s="14" t="s">
        <v>465</v>
      </c>
      <c r="K80" s="14" t="s">
        <v>465</v>
      </c>
      <c r="L80" s="14" t="s">
        <v>865</v>
      </c>
      <c r="M80" s="15" t="s">
        <v>868</v>
      </c>
      <c r="N80" s="14" t="s">
        <v>849</v>
      </c>
      <c r="O80" s="14" t="s">
        <v>702</v>
      </c>
      <c r="P80" s="14" t="s">
        <v>867</v>
      </c>
      <c r="Q80" s="14" t="s">
        <v>312</v>
      </c>
      <c r="R80" s="14" t="s">
        <v>465</v>
      </c>
      <c r="S80" s="14" t="s">
        <v>581</v>
      </c>
      <c r="T80" s="14" t="s">
        <v>465</v>
      </c>
      <c r="U80" s="14" t="s">
        <v>87</v>
      </c>
      <c r="V80" s="14" t="s">
        <v>465</v>
      </c>
      <c r="W80" s="14" t="s">
        <v>866</v>
      </c>
      <c r="X80" s="14" t="s">
        <v>865</v>
      </c>
      <c r="Y80" s="14" t="s">
        <v>865</v>
      </c>
      <c r="Z80" s="14" t="s">
        <v>865</v>
      </c>
    </row>
    <row r="81" spans="1:26">
      <c r="A81" s="17">
        <v>1</v>
      </c>
      <c r="B81" s="19" t="s">
        <v>864</v>
      </c>
      <c r="C81" s="19" t="s">
        <v>796</v>
      </c>
      <c r="D81" s="19" t="s">
        <v>87</v>
      </c>
      <c r="E81" s="19" t="s">
        <v>491</v>
      </c>
      <c r="F81" s="19" t="s">
        <v>465</v>
      </c>
      <c r="G81" s="19" t="s">
        <v>789</v>
      </c>
      <c r="H81" s="19" t="s">
        <v>213</v>
      </c>
      <c r="I81" s="19" t="s">
        <v>465</v>
      </c>
      <c r="J81" s="19" t="s">
        <v>465</v>
      </c>
      <c r="K81" s="19" t="s">
        <v>465</v>
      </c>
      <c r="L81" s="19" t="s">
        <v>862</v>
      </c>
      <c r="M81" s="21" t="s">
        <v>863</v>
      </c>
      <c r="N81" s="19" t="s">
        <v>465</v>
      </c>
      <c r="O81" s="19" t="s">
        <v>660</v>
      </c>
      <c r="P81" s="20" t="s">
        <v>659</v>
      </c>
      <c r="Q81" s="19" t="s">
        <v>596</v>
      </c>
      <c r="R81" s="19" t="s">
        <v>159</v>
      </c>
      <c r="S81" s="19" t="s">
        <v>33</v>
      </c>
      <c r="T81" s="19" t="s">
        <v>465</v>
      </c>
      <c r="U81" s="19" t="s">
        <v>490</v>
      </c>
      <c r="V81" s="19" t="s">
        <v>465</v>
      </c>
      <c r="W81" s="19" t="s">
        <v>465</v>
      </c>
      <c r="X81" s="19" t="s">
        <v>862</v>
      </c>
      <c r="Y81" s="19" t="s">
        <v>862</v>
      </c>
      <c r="Z81" s="19" t="s">
        <v>862</v>
      </c>
    </row>
    <row r="82" spans="1:26">
      <c r="A82" s="17">
        <v>0</v>
      </c>
      <c r="B82" s="17" t="s">
        <v>465</v>
      </c>
      <c r="C82" s="17"/>
      <c r="D82" s="17" t="s">
        <v>105</v>
      </c>
      <c r="E82" s="17" t="s">
        <v>491</v>
      </c>
      <c r="F82" s="17" t="s">
        <v>465</v>
      </c>
      <c r="G82" s="17" t="s">
        <v>275</v>
      </c>
      <c r="H82" s="17" t="s">
        <v>276</v>
      </c>
      <c r="I82" s="17" t="s">
        <v>465</v>
      </c>
      <c r="J82" s="17" t="s">
        <v>465</v>
      </c>
      <c r="K82" s="17" t="s">
        <v>465</v>
      </c>
      <c r="L82" s="17" t="s">
        <v>818</v>
      </c>
      <c r="M82" s="18" t="s">
        <v>730</v>
      </c>
      <c r="N82" s="17" t="s">
        <v>465</v>
      </c>
      <c r="O82" s="17" t="s">
        <v>498</v>
      </c>
      <c r="P82" s="17" t="s">
        <v>465</v>
      </c>
      <c r="Q82" s="17" t="s">
        <v>611</v>
      </c>
      <c r="R82" s="17" t="s">
        <v>465</v>
      </c>
      <c r="S82" s="17" t="s">
        <v>33</v>
      </c>
      <c r="T82" s="17" t="s">
        <v>465</v>
      </c>
      <c r="U82" s="17" t="s">
        <v>465</v>
      </c>
      <c r="V82" s="17" t="s">
        <v>465</v>
      </c>
      <c r="W82" s="17" t="s">
        <v>465</v>
      </c>
      <c r="X82" s="17" t="s">
        <v>818</v>
      </c>
      <c r="Y82" s="17" t="s">
        <v>818</v>
      </c>
      <c r="Z82" s="17" t="s">
        <v>818</v>
      </c>
    </row>
    <row r="83" spans="1:26">
      <c r="A83" s="17">
        <v>2</v>
      </c>
      <c r="B83" s="14" t="s">
        <v>465</v>
      </c>
      <c r="C83" s="14"/>
      <c r="D83" s="14" t="s">
        <v>465</v>
      </c>
      <c r="E83" s="14" t="s">
        <v>465</v>
      </c>
      <c r="F83" s="14" t="s">
        <v>465</v>
      </c>
      <c r="G83" s="14" t="s">
        <v>827</v>
      </c>
      <c r="H83" s="14" t="s">
        <v>279</v>
      </c>
      <c r="I83" s="14"/>
      <c r="J83" s="14" t="s">
        <v>465</v>
      </c>
      <c r="K83" s="14" t="s">
        <v>465</v>
      </c>
      <c r="L83" s="14" t="s">
        <v>824</v>
      </c>
      <c r="M83" s="15" t="s">
        <v>861</v>
      </c>
      <c r="N83" s="14" t="s">
        <v>537</v>
      </c>
      <c r="O83" s="14" t="s">
        <v>660</v>
      </c>
      <c r="P83" s="14" t="s">
        <v>860</v>
      </c>
      <c r="Q83" s="14" t="s">
        <v>642</v>
      </c>
      <c r="R83" s="14" t="s">
        <v>159</v>
      </c>
      <c r="S83" s="14" t="s">
        <v>581</v>
      </c>
      <c r="T83" s="14" t="s">
        <v>465</v>
      </c>
      <c r="U83" s="14" t="s">
        <v>490</v>
      </c>
      <c r="V83" s="14" t="s">
        <v>465</v>
      </c>
      <c r="W83" s="14" t="s">
        <v>859</v>
      </c>
      <c r="X83" s="14" t="s">
        <v>824</v>
      </c>
      <c r="Y83" s="14" t="s">
        <v>824</v>
      </c>
      <c r="Z83" s="14" t="s">
        <v>824</v>
      </c>
    </row>
    <row r="84" spans="1:26">
      <c r="A84" s="17">
        <v>1</v>
      </c>
      <c r="B84" s="19" t="s">
        <v>858</v>
      </c>
      <c r="C84" s="19" t="s">
        <v>796</v>
      </c>
      <c r="D84" s="19" t="s">
        <v>41</v>
      </c>
      <c r="E84" s="19" t="s">
        <v>490</v>
      </c>
      <c r="F84" s="19" t="s">
        <v>465</v>
      </c>
      <c r="G84" s="19" t="s">
        <v>857</v>
      </c>
      <c r="H84" s="19" t="s">
        <v>856</v>
      </c>
      <c r="I84" s="19" t="s">
        <v>465</v>
      </c>
      <c r="J84" s="19" t="s">
        <v>465</v>
      </c>
      <c r="K84" s="19" t="s">
        <v>465</v>
      </c>
      <c r="L84" s="19" t="s">
        <v>854</v>
      </c>
      <c r="M84" s="21" t="s">
        <v>855</v>
      </c>
      <c r="N84" s="19" t="s">
        <v>465</v>
      </c>
      <c r="O84" s="19" t="s">
        <v>498</v>
      </c>
      <c r="P84" s="19" t="s">
        <v>465</v>
      </c>
      <c r="Q84" s="19" t="s">
        <v>498</v>
      </c>
      <c r="R84" s="19" t="s">
        <v>465</v>
      </c>
      <c r="S84" s="19" t="s">
        <v>490</v>
      </c>
      <c r="T84" s="19" t="s">
        <v>465</v>
      </c>
      <c r="U84" s="19" t="s">
        <v>632</v>
      </c>
      <c r="V84" s="19" t="s">
        <v>465</v>
      </c>
      <c r="W84" s="19" t="s">
        <v>465</v>
      </c>
      <c r="X84" s="19" t="s">
        <v>854</v>
      </c>
      <c r="Y84" s="19" t="s">
        <v>854</v>
      </c>
      <c r="Z84" s="19" t="s">
        <v>854</v>
      </c>
    </row>
    <row r="85" spans="1:26">
      <c r="A85" s="17">
        <v>0</v>
      </c>
      <c r="B85" s="17" t="s">
        <v>465</v>
      </c>
      <c r="C85" s="17"/>
      <c r="D85" s="17" t="s">
        <v>105</v>
      </c>
      <c r="E85" s="17" t="s">
        <v>491</v>
      </c>
      <c r="F85" s="17" t="s">
        <v>465</v>
      </c>
      <c r="G85" s="17" t="s">
        <v>779</v>
      </c>
      <c r="H85" s="17" t="s">
        <v>205</v>
      </c>
      <c r="I85" s="17"/>
      <c r="J85" s="17" t="s">
        <v>465</v>
      </c>
      <c r="K85" s="17" t="s">
        <v>465</v>
      </c>
      <c r="L85" s="17" t="s">
        <v>705</v>
      </c>
      <c r="M85" s="18" t="s">
        <v>730</v>
      </c>
      <c r="N85" s="17" t="s">
        <v>465</v>
      </c>
      <c r="O85" s="17" t="s">
        <v>498</v>
      </c>
      <c r="P85" s="17" t="s">
        <v>465</v>
      </c>
      <c r="Q85" s="17" t="s">
        <v>611</v>
      </c>
      <c r="R85" s="17" t="s">
        <v>465</v>
      </c>
      <c r="S85" s="17" t="s">
        <v>490</v>
      </c>
      <c r="T85" s="17" t="s">
        <v>465</v>
      </c>
      <c r="U85" s="17" t="s">
        <v>465</v>
      </c>
      <c r="V85" s="17" t="s">
        <v>465</v>
      </c>
      <c r="W85" s="17" t="s">
        <v>465</v>
      </c>
      <c r="X85" s="17" t="s">
        <v>705</v>
      </c>
      <c r="Y85" s="17" t="s">
        <v>705</v>
      </c>
      <c r="Z85" s="17" t="s">
        <v>705</v>
      </c>
    </row>
    <row r="86" spans="1:26">
      <c r="A86" s="17">
        <v>0</v>
      </c>
      <c r="B86" s="17" t="s">
        <v>465</v>
      </c>
      <c r="C86" s="17"/>
      <c r="D86" s="17" t="s">
        <v>138</v>
      </c>
      <c r="E86" s="17" t="s">
        <v>545</v>
      </c>
      <c r="F86" s="17" t="s">
        <v>465</v>
      </c>
      <c r="G86" s="17" t="s">
        <v>114</v>
      </c>
      <c r="H86" s="17" t="s">
        <v>287</v>
      </c>
      <c r="I86" s="17" t="s">
        <v>465</v>
      </c>
      <c r="J86" s="17" t="s">
        <v>465</v>
      </c>
      <c r="K86" s="17" t="s">
        <v>465</v>
      </c>
      <c r="L86" s="17" t="s">
        <v>853</v>
      </c>
      <c r="M86" s="18" t="s">
        <v>843</v>
      </c>
      <c r="N86" s="17" t="s">
        <v>465</v>
      </c>
      <c r="O86" s="17" t="s">
        <v>33</v>
      </c>
      <c r="P86" s="22" t="s">
        <v>706</v>
      </c>
      <c r="Q86" s="17" t="s">
        <v>513</v>
      </c>
      <c r="R86" s="17" t="s">
        <v>465</v>
      </c>
      <c r="S86" s="17" t="s">
        <v>33</v>
      </c>
      <c r="T86" s="17" t="s">
        <v>465</v>
      </c>
      <c r="U86" s="17" t="s">
        <v>465</v>
      </c>
      <c r="V86" s="17" t="s">
        <v>465</v>
      </c>
      <c r="W86" s="17" t="s">
        <v>465</v>
      </c>
      <c r="X86" s="17" t="s">
        <v>853</v>
      </c>
      <c r="Y86" s="17" t="s">
        <v>853</v>
      </c>
      <c r="Z86" s="17" t="s">
        <v>853</v>
      </c>
    </row>
    <row r="87" spans="1:26">
      <c r="A87" s="17">
        <v>2</v>
      </c>
      <c r="B87" s="14" t="s">
        <v>465</v>
      </c>
      <c r="C87" s="14"/>
      <c r="D87" s="14" t="s">
        <v>465</v>
      </c>
      <c r="E87" s="14" t="s">
        <v>465</v>
      </c>
      <c r="F87" s="14" t="s">
        <v>465</v>
      </c>
      <c r="G87" s="14" t="s">
        <v>852</v>
      </c>
      <c r="H87" s="14" t="s">
        <v>289</v>
      </c>
      <c r="I87" s="14"/>
      <c r="J87" s="14" t="s">
        <v>465</v>
      </c>
      <c r="K87" s="14" t="s">
        <v>465</v>
      </c>
      <c r="L87" s="14" t="s">
        <v>847</v>
      </c>
      <c r="M87" s="15" t="s">
        <v>851</v>
      </c>
      <c r="N87" s="14" t="s">
        <v>703</v>
      </c>
      <c r="O87" s="14" t="s">
        <v>33</v>
      </c>
      <c r="P87" s="14" t="s">
        <v>850</v>
      </c>
      <c r="Q87" s="14" t="s">
        <v>849</v>
      </c>
      <c r="R87" s="14" t="s">
        <v>465</v>
      </c>
      <c r="S87" s="14" t="s">
        <v>581</v>
      </c>
      <c r="T87" s="14" t="s">
        <v>465</v>
      </c>
      <c r="U87" s="14" t="s">
        <v>632</v>
      </c>
      <c r="V87" s="14" t="s">
        <v>465</v>
      </c>
      <c r="W87" s="14" t="s">
        <v>848</v>
      </c>
      <c r="X87" s="14" t="s">
        <v>847</v>
      </c>
      <c r="Y87" s="14" t="s">
        <v>847</v>
      </c>
      <c r="Z87" s="14" t="s">
        <v>847</v>
      </c>
    </row>
    <row r="88" spans="1:26">
      <c r="A88" s="17">
        <v>1</v>
      </c>
      <c r="B88" s="19" t="s">
        <v>846</v>
      </c>
      <c r="C88" s="19" t="s">
        <v>796</v>
      </c>
      <c r="D88" s="19" t="s">
        <v>534</v>
      </c>
      <c r="E88" s="19" t="s">
        <v>529</v>
      </c>
      <c r="F88" s="19" t="s">
        <v>465</v>
      </c>
      <c r="G88" s="19" t="s">
        <v>845</v>
      </c>
      <c r="H88" s="19" t="s">
        <v>572</v>
      </c>
      <c r="I88" s="19" t="s">
        <v>465</v>
      </c>
      <c r="J88" s="19" t="s">
        <v>465</v>
      </c>
      <c r="K88" s="19" t="s">
        <v>465</v>
      </c>
      <c r="L88" s="19" t="s">
        <v>843</v>
      </c>
      <c r="M88" s="21" t="s">
        <v>844</v>
      </c>
      <c r="N88" s="19" t="s">
        <v>465</v>
      </c>
      <c r="O88" s="19" t="s">
        <v>498</v>
      </c>
      <c r="P88" s="19" t="s">
        <v>465</v>
      </c>
      <c r="Q88" s="19" t="s">
        <v>504</v>
      </c>
      <c r="R88" s="19" t="s">
        <v>465</v>
      </c>
      <c r="S88" s="19" t="s">
        <v>490</v>
      </c>
      <c r="T88" s="19" t="s">
        <v>465</v>
      </c>
      <c r="U88" s="19" t="s">
        <v>596</v>
      </c>
      <c r="V88" s="19" t="s">
        <v>465</v>
      </c>
      <c r="W88" s="19" t="s">
        <v>465</v>
      </c>
      <c r="X88" s="19" t="s">
        <v>843</v>
      </c>
      <c r="Y88" s="19" t="s">
        <v>843</v>
      </c>
      <c r="Z88" s="19" t="s">
        <v>843</v>
      </c>
    </row>
    <row r="89" spans="1:26">
      <c r="A89" s="17">
        <v>0</v>
      </c>
      <c r="B89" s="17" t="s">
        <v>465</v>
      </c>
      <c r="C89" s="17"/>
      <c r="D89" s="17" t="s">
        <v>138</v>
      </c>
      <c r="E89" s="17" t="s">
        <v>490</v>
      </c>
      <c r="F89" s="17" t="s">
        <v>465</v>
      </c>
      <c r="G89" s="17" t="s">
        <v>713</v>
      </c>
      <c r="H89" s="17" t="s">
        <v>221</v>
      </c>
      <c r="I89" s="17"/>
      <c r="J89" s="17" t="s">
        <v>465</v>
      </c>
      <c r="K89" s="17" t="s">
        <v>465</v>
      </c>
      <c r="L89" s="17" t="s">
        <v>842</v>
      </c>
      <c r="M89" s="18" t="s">
        <v>826</v>
      </c>
      <c r="N89" s="17" t="s">
        <v>465</v>
      </c>
      <c r="O89" s="17" t="s">
        <v>138</v>
      </c>
      <c r="P89" s="22" t="s">
        <v>709</v>
      </c>
      <c r="Q89" s="17" t="s">
        <v>637</v>
      </c>
      <c r="R89" s="17" t="s">
        <v>465</v>
      </c>
      <c r="S89" s="17" t="s">
        <v>490</v>
      </c>
      <c r="T89" s="17" t="s">
        <v>465</v>
      </c>
      <c r="U89" s="17" t="s">
        <v>465</v>
      </c>
      <c r="V89" s="17" t="s">
        <v>465</v>
      </c>
      <c r="W89" s="17" t="s">
        <v>465</v>
      </c>
      <c r="X89" s="17" t="s">
        <v>842</v>
      </c>
      <c r="Y89" s="17" t="s">
        <v>842</v>
      </c>
      <c r="Z89" s="17" t="s">
        <v>842</v>
      </c>
    </row>
    <row r="90" spans="1:26">
      <c r="A90" s="17">
        <v>0</v>
      </c>
      <c r="B90" s="17" t="s">
        <v>465</v>
      </c>
      <c r="C90" s="17"/>
      <c r="D90" s="17" t="s">
        <v>138</v>
      </c>
      <c r="E90" s="17" t="s">
        <v>545</v>
      </c>
      <c r="F90" s="17" t="s">
        <v>465</v>
      </c>
      <c r="G90" s="17" t="s">
        <v>287</v>
      </c>
      <c r="H90" s="17" t="s">
        <v>298</v>
      </c>
      <c r="I90" s="17" t="s">
        <v>465</v>
      </c>
      <c r="J90" s="17" t="s">
        <v>465</v>
      </c>
      <c r="K90" s="17" t="s">
        <v>465</v>
      </c>
      <c r="L90" s="17" t="s">
        <v>841</v>
      </c>
      <c r="M90" s="18" t="s">
        <v>778</v>
      </c>
      <c r="N90" s="17" t="s">
        <v>465</v>
      </c>
      <c r="O90" s="17" t="s">
        <v>233</v>
      </c>
      <c r="P90" s="22" t="s">
        <v>728</v>
      </c>
      <c r="Q90" s="17" t="s">
        <v>484</v>
      </c>
      <c r="R90" s="17" t="s">
        <v>465</v>
      </c>
      <c r="S90" s="17" t="s">
        <v>33</v>
      </c>
      <c r="T90" s="17" t="s">
        <v>465</v>
      </c>
      <c r="U90" s="17" t="s">
        <v>465</v>
      </c>
      <c r="V90" s="17" t="s">
        <v>465</v>
      </c>
      <c r="W90" s="17" t="s">
        <v>465</v>
      </c>
      <c r="X90" s="17" t="s">
        <v>841</v>
      </c>
      <c r="Y90" s="17" t="s">
        <v>841</v>
      </c>
      <c r="Z90" s="17" t="s">
        <v>841</v>
      </c>
    </row>
    <row r="91" spans="1:26">
      <c r="A91" s="17">
        <v>2</v>
      </c>
      <c r="B91" s="14" t="s">
        <v>465</v>
      </c>
      <c r="C91" s="14"/>
      <c r="D91" s="14" t="s">
        <v>465</v>
      </c>
      <c r="E91" s="14" t="s">
        <v>465</v>
      </c>
      <c r="F91" s="14" t="s">
        <v>465</v>
      </c>
      <c r="G91" s="14" t="s">
        <v>683</v>
      </c>
      <c r="H91" s="14" t="s">
        <v>300</v>
      </c>
      <c r="I91" s="14"/>
      <c r="J91" s="14" t="s">
        <v>465</v>
      </c>
      <c r="K91" s="14" t="s">
        <v>465</v>
      </c>
      <c r="L91" s="14" t="s">
        <v>683</v>
      </c>
      <c r="M91" s="15" t="s">
        <v>840</v>
      </c>
      <c r="N91" s="14" t="s">
        <v>53</v>
      </c>
      <c r="O91" s="14" t="s">
        <v>632</v>
      </c>
      <c r="P91" s="14" t="s">
        <v>839</v>
      </c>
      <c r="Q91" s="14" t="s">
        <v>767</v>
      </c>
      <c r="R91" s="14" t="s">
        <v>465</v>
      </c>
      <c r="S91" s="14" t="s">
        <v>581</v>
      </c>
      <c r="T91" s="14" t="s">
        <v>465</v>
      </c>
      <c r="U91" s="14" t="s">
        <v>596</v>
      </c>
      <c r="V91" s="14" t="s">
        <v>465</v>
      </c>
      <c r="W91" s="14" t="s">
        <v>838</v>
      </c>
      <c r="X91" s="14" t="s">
        <v>683</v>
      </c>
      <c r="Y91" s="14" t="s">
        <v>683</v>
      </c>
      <c r="Z91" s="14" t="s">
        <v>683</v>
      </c>
    </row>
    <row r="92" spans="1:26">
      <c r="A92" s="17">
        <v>1</v>
      </c>
      <c r="B92" s="19" t="s">
        <v>837</v>
      </c>
      <c r="C92" s="19" t="s">
        <v>796</v>
      </c>
      <c r="D92" s="19" t="s">
        <v>81</v>
      </c>
      <c r="E92" s="19" t="s">
        <v>491</v>
      </c>
      <c r="F92" s="19" t="s">
        <v>465</v>
      </c>
      <c r="G92" s="19" t="s">
        <v>824</v>
      </c>
      <c r="H92" s="19" t="s">
        <v>229</v>
      </c>
      <c r="I92" s="19" t="s">
        <v>465</v>
      </c>
      <c r="J92" s="19" t="s">
        <v>465</v>
      </c>
      <c r="K92" s="19" t="s">
        <v>465</v>
      </c>
      <c r="L92" s="19" t="s">
        <v>783</v>
      </c>
      <c r="M92" s="21" t="s">
        <v>605</v>
      </c>
      <c r="N92" s="19" t="s">
        <v>465</v>
      </c>
      <c r="O92" s="19" t="s">
        <v>53</v>
      </c>
      <c r="P92" s="20" t="s">
        <v>604</v>
      </c>
      <c r="Q92" s="19" t="s">
        <v>159</v>
      </c>
      <c r="R92" s="19" t="s">
        <v>81</v>
      </c>
      <c r="S92" s="19" t="s">
        <v>33</v>
      </c>
      <c r="T92" s="19" t="s">
        <v>465</v>
      </c>
      <c r="U92" s="19" t="s">
        <v>465</v>
      </c>
      <c r="V92" s="19" t="s">
        <v>465</v>
      </c>
      <c r="W92" s="19" t="s">
        <v>465</v>
      </c>
      <c r="X92" s="19" t="s">
        <v>783</v>
      </c>
      <c r="Y92" s="19" t="s">
        <v>783</v>
      </c>
      <c r="Z92" s="19" t="s">
        <v>783</v>
      </c>
    </row>
    <row r="93" spans="1:26">
      <c r="A93" s="17">
        <v>0</v>
      </c>
      <c r="B93" s="17" t="s">
        <v>465</v>
      </c>
      <c r="C93" s="17"/>
      <c r="D93" s="17" t="s">
        <v>81</v>
      </c>
      <c r="E93" s="17" t="s">
        <v>521</v>
      </c>
      <c r="F93" s="17" t="s">
        <v>465</v>
      </c>
      <c r="G93" s="17" t="s">
        <v>304</v>
      </c>
      <c r="H93" s="17" t="s">
        <v>305</v>
      </c>
      <c r="I93" s="17" t="s">
        <v>465</v>
      </c>
      <c r="J93" s="17" t="s">
        <v>465</v>
      </c>
      <c r="K93" s="17" t="s">
        <v>465</v>
      </c>
      <c r="L93" s="17" t="s">
        <v>677</v>
      </c>
      <c r="M93" s="18" t="s">
        <v>836</v>
      </c>
      <c r="N93" s="17" t="s">
        <v>465</v>
      </c>
      <c r="O93" s="17" t="s">
        <v>574</v>
      </c>
      <c r="P93" s="22" t="s">
        <v>738</v>
      </c>
      <c r="Q93" s="17" t="s">
        <v>159</v>
      </c>
      <c r="R93" s="17" t="s">
        <v>138</v>
      </c>
      <c r="S93" s="17" t="s">
        <v>33</v>
      </c>
      <c r="T93" s="17" t="s">
        <v>465</v>
      </c>
      <c r="U93" s="17" t="s">
        <v>465</v>
      </c>
      <c r="V93" s="17" t="s">
        <v>465</v>
      </c>
      <c r="W93" s="17" t="s">
        <v>465</v>
      </c>
      <c r="X93" s="17" t="s">
        <v>677</v>
      </c>
      <c r="Y93" s="17" t="s">
        <v>677</v>
      </c>
      <c r="Z93" s="17" t="s">
        <v>677</v>
      </c>
    </row>
    <row r="94" spans="1:26">
      <c r="A94" s="17">
        <v>2</v>
      </c>
      <c r="B94" s="14" t="s">
        <v>465</v>
      </c>
      <c r="C94" s="14"/>
      <c r="D94" s="14" t="s">
        <v>465</v>
      </c>
      <c r="E94" s="14" t="s">
        <v>465</v>
      </c>
      <c r="F94" s="14" t="s">
        <v>465</v>
      </c>
      <c r="G94" s="14" t="s">
        <v>835</v>
      </c>
      <c r="H94" s="14" t="s">
        <v>307</v>
      </c>
      <c r="I94" s="14"/>
      <c r="J94" s="14" t="s">
        <v>465</v>
      </c>
      <c r="K94" s="14" t="s">
        <v>465</v>
      </c>
      <c r="L94" s="14" t="s">
        <v>830</v>
      </c>
      <c r="M94" s="15" t="s">
        <v>834</v>
      </c>
      <c r="N94" s="14" t="s">
        <v>767</v>
      </c>
      <c r="O94" s="14" t="s">
        <v>751</v>
      </c>
      <c r="P94" s="14" t="s">
        <v>833</v>
      </c>
      <c r="Q94" s="14" t="s">
        <v>574</v>
      </c>
      <c r="R94" s="14" t="s">
        <v>832</v>
      </c>
      <c r="S94" s="14" t="s">
        <v>581</v>
      </c>
      <c r="T94" s="14" t="s">
        <v>465</v>
      </c>
      <c r="U94" s="14" t="s">
        <v>465</v>
      </c>
      <c r="V94" s="14" t="s">
        <v>465</v>
      </c>
      <c r="W94" s="14" t="s">
        <v>831</v>
      </c>
      <c r="X94" s="14" t="s">
        <v>830</v>
      </c>
      <c r="Y94" s="14" t="s">
        <v>830</v>
      </c>
      <c r="Z94" s="14" t="s">
        <v>830</v>
      </c>
    </row>
    <row r="95" spans="1:26">
      <c r="A95" s="17">
        <v>1</v>
      </c>
      <c r="B95" s="19" t="s">
        <v>829</v>
      </c>
      <c r="C95" s="19" t="s">
        <v>796</v>
      </c>
      <c r="D95" s="19" t="s">
        <v>81</v>
      </c>
      <c r="E95" s="19" t="s">
        <v>529</v>
      </c>
      <c r="F95" s="19" t="s">
        <v>465</v>
      </c>
      <c r="G95" s="19" t="s">
        <v>828</v>
      </c>
      <c r="H95" s="19" t="s">
        <v>99</v>
      </c>
      <c r="I95" s="19" t="s">
        <v>465</v>
      </c>
      <c r="J95" s="19" t="s">
        <v>465</v>
      </c>
      <c r="K95" s="19" t="s">
        <v>465</v>
      </c>
      <c r="L95" s="19" t="s">
        <v>827</v>
      </c>
      <c r="M95" s="21" t="s">
        <v>695</v>
      </c>
      <c r="N95" s="19" t="s">
        <v>465</v>
      </c>
      <c r="O95" s="19" t="s">
        <v>53</v>
      </c>
      <c r="P95" s="20" t="s">
        <v>604</v>
      </c>
      <c r="Q95" s="19" t="s">
        <v>554</v>
      </c>
      <c r="R95" s="19" t="s">
        <v>581</v>
      </c>
      <c r="S95" s="19" t="s">
        <v>33</v>
      </c>
      <c r="T95" s="19" t="s">
        <v>465</v>
      </c>
      <c r="U95" s="19" t="s">
        <v>465</v>
      </c>
      <c r="V95" s="19" t="s">
        <v>465</v>
      </c>
      <c r="W95" s="19" t="s">
        <v>465</v>
      </c>
      <c r="X95" s="19" t="s">
        <v>827</v>
      </c>
      <c r="Y95" s="19" t="s">
        <v>827</v>
      </c>
      <c r="Z95" s="19" t="s">
        <v>827</v>
      </c>
    </row>
    <row r="96" spans="1:26">
      <c r="A96" s="17">
        <v>0</v>
      </c>
      <c r="B96" s="17" t="s">
        <v>465</v>
      </c>
      <c r="C96" s="17"/>
      <c r="D96" s="17" t="s">
        <v>312</v>
      </c>
      <c r="E96" s="17" t="s">
        <v>491</v>
      </c>
      <c r="F96" s="17" t="s">
        <v>465</v>
      </c>
      <c r="G96" s="17" t="s">
        <v>314</v>
      </c>
      <c r="H96" s="17" t="s">
        <v>316</v>
      </c>
      <c r="I96" s="17" t="s">
        <v>465</v>
      </c>
      <c r="J96" s="17" t="s">
        <v>465</v>
      </c>
      <c r="K96" s="17" t="s">
        <v>465</v>
      </c>
      <c r="L96" s="17" t="s">
        <v>754</v>
      </c>
      <c r="M96" s="18" t="s">
        <v>826</v>
      </c>
      <c r="N96" s="17" t="s">
        <v>465</v>
      </c>
      <c r="O96" s="17" t="s">
        <v>513</v>
      </c>
      <c r="P96" s="22" t="s">
        <v>825</v>
      </c>
      <c r="Q96" s="17" t="s">
        <v>626</v>
      </c>
      <c r="R96" s="17" t="s">
        <v>465</v>
      </c>
      <c r="S96" s="17" t="s">
        <v>33</v>
      </c>
      <c r="T96" s="17" t="s">
        <v>465</v>
      </c>
      <c r="U96" s="17" t="s">
        <v>581</v>
      </c>
      <c r="V96" s="17" t="s">
        <v>465</v>
      </c>
      <c r="W96" s="17" t="s">
        <v>465</v>
      </c>
      <c r="X96" s="17" t="s">
        <v>754</v>
      </c>
      <c r="Y96" s="17" t="s">
        <v>754</v>
      </c>
      <c r="Z96" s="17" t="s">
        <v>754</v>
      </c>
    </row>
    <row r="97" spans="1:26">
      <c r="A97" s="17">
        <v>2</v>
      </c>
      <c r="B97" s="14" t="s">
        <v>465</v>
      </c>
      <c r="C97" s="14"/>
      <c r="D97" s="14" t="s">
        <v>465</v>
      </c>
      <c r="E97" s="14" t="s">
        <v>465</v>
      </c>
      <c r="F97" s="14" t="s">
        <v>465</v>
      </c>
      <c r="G97" s="14" t="s">
        <v>824</v>
      </c>
      <c r="H97" s="14" t="s">
        <v>318</v>
      </c>
      <c r="I97" s="14"/>
      <c r="J97" s="14" t="s">
        <v>465</v>
      </c>
      <c r="K97" s="14" t="s">
        <v>465</v>
      </c>
      <c r="L97" s="14" t="s">
        <v>572</v>
      </c>
      <c r="M97" s="15" t="s">
        <v>736</v>
      </c>
      <c r="N97" s="14" t="s">
        <v>518</v>
      </c>
      <c r="O97" s="14" t="s">
        <v>734</v>
      </c>
      <c r="P97" s="14" t="s">
        <v>823</v>
      </c>
      <c r="Q97" s="14" t="s">
        <v>822</v>
      </c>
      <c r="R97" s="14" t="s">
        <v>581</v>
      </c>
      <c r="S97" s="14" t="s">
        <v>581</v>
      </c>
      <c r="T97" s="14" t="s">
        <v>465</v>
      </c>
      <c r="U97" s="14" t="s">
        <v>581</v>
      </c>
      <c r="V97" s="14" t="s">
        <v>465</v>
      </c>
      <c r="W97" s="14" t="s">
        <v>821</v>
      </c>
      <c r="X97" s="14" t="s">
        <v>572</v>
      </c>
      <c r="Y97" s="14" t="s">
        <v>572</v>
      </c>
      <c r="Z97" s="14" t="s">
        <v>572</v>
      </c>
    </row>
    <row r="98" spans="1:26">
      <c r="A98" s="17">
        <v>1</v>
      </c>
      <c r="B98" s="19" t="s">
        <v>820</v>
      </c>
      <c r="C98" s="19" t="s">
        <v>796</v>
      </c>
      <c r="D98" s="19" t="s">
        <v>138</v>
      </c>
      <c r="E98" s="19" t="s">
        <v>529</v>
      </c>
      <c r="F98" s="19" t="s">
        <v>465</v>
      </c>
      <c r="G98" s="19" t="s">
        <v>721</v>
      </c>
      <c r="H98" s="19" t="s">
        <v>819</v>
      </c>
      <c r="I98" s="19" t="s">
        <v>465</v>
      </c>
      <c r="J98" s="19" t="s">
        <v>465</v>
      </c>
      <c r="K98" s="19" t="s">
        <v>465</v>
      </c>
      <c r="L98" s="19" t="s">
        <v>818</v>
      </c>
      <c r="M98" s="21" t="s">
        <v>778</v>
      </c>
      <c r="N98" s="19" t="s">
        <v>465</v>
      </c>
      <c r="O98" s="19" t="s">
        <v>138</v>
      </c>
      <c r="P98" s="20" t="s">
        <v>709</v>
      </c>
      <c r="Q98" s="19" t="s">
        <v>484</v>
      </c>
      <c r="R98" s="19" t="s">
        <v>465</v>
      </c>
      <c r="S98" s="19" t="s">
        <v>33</v>
      </c>
      <c r="T98" s="19" t="s">
        <v>465</v>
      </c>
      <c r="U98" s="19" t="s">
        <v>465</v>
      </c>
      <c r="V98" s="19" t="s">
        <v>465</v>
      </c>
      <c r="W98" s="19" t="s">
        <v>465</v>
      </c>
      <c r="X98" s="19" t="s">
        <v>818</v>
      </c>
      <c r="Y98" s="19" t="s">
        <v>818</v>
      </c>
      <c r="Z98" s="19" t="s">
        <v>818</v>
      </c>
    </row>
    <row r="99" spans="1:26">
      <c r="A99" s="17">
        <v>0</v>
      </c>
      <c r="B99" s="17" t="s">
        <v>465</v>
      </c>
      <c r="C99" s="17"/>
      <c r="D99" s="17" t="s">
        <v>81</v>
      </c>
      <c r="E99" s="17" t="s">
        <v>491</v>
      </c>
      <c r="F99" s="17" t="s">
        <v>465</v>
      </c>
      <c r="G99" s="17" t="s">
        <v>230</v>
      </c>
      <c r="H99" s="17" t="s">
        <v>322</v>
      </c>
      <c r="I99" s="17" t="s">
        <v>465</v>
      </c>
      <c r="J99" s="17" t="s">
        <v>465</v>
      </c>
      <c r="K99" s="17" t="s">
        <v>465</v>
      </c>
      <c r="L99" s="17" t="s">
        <v>616</v>
      </c>
      <c r="M99" s="18" t="s">
        <v>754</v>
      </c>
      <c r="N99" s="17" t="s">
        <v>465</v>
      </c>
      <c r="O99" s="17" t="s">
        <v>574</v>
      </c>
      <c r="P99" s="22" t="s">
        <v>738</v>
      </c>
      <c r="Q99" s="17" t="s">
        <v>611</v>
      </c>
      <c r="R99" s="17" t="s">
        <v>81</v>
      </c>
      <c r="S99" s="17" t="s">
        <v>490</v>
      </c>
      <c r="T99" s="17" t="s">
        <v>465</v>
      </c>
      <c r="U99" s="17" t="s">
        <v>138</v>
      </c>
      <c r="V99" s="17" t="s">
        <v>465</v>
      </c>
      <c r="W99" s="17" t="s">
        <v>465</v>
      </c>
      <c r="X99" s="17" t="s">
        <v>616</v>
      </c>
      <c r="Y99" s="17" t="s">
        <v>616</v>
      </c>
      <c r="Z99" s="17" t="s">
        <v>616</v>
      </c>
    </row>
    <row r="100" spans="1:26">
      <c r="A100" s="17">
        <v>0</v>
      </c>
      <c r="B100" s="17" t="s">
        <v>465</v>
      </c>
      <c r="C100" s="17"/>
      <c r="D100" s="17" t="s">
        <v>87</v>
      </c>
      <c r="E100" s="17" t="s">
        <v>521</v>
      </c>
      <c r="F100" s="17" t="s">
        <v>465</v>
      </c>
      <c r="G100" s="17" t="s">
        <v>323</v>
      </c>
      <c r="H100" s="17" t="s">
        <v>324</v>
      </c>
      <c r="I100" s="17"/>
      <c r="J100" s="17" t="s">
        <v>465</v>
      </c>
      <c r="K100" s="17" t="s">
        <v>465</v>
      </c>
      <c r="L100" s="17" t="s">
        <v>705</v>
      </c>
      <c r="M100" s="18" t="s">
        <v>489</v>
      </c>
      <c r="N100" s="17" t="s">
        <v>465</v>
      </c>
      <c r="O100" s="17" t="s">
        <v>513</v>
      </c>
      <c r="P100" s="22" t="s">
        <v>657</v>
      </c>
      <c r="Q100" s="17" t="s">
        <v>545</v>
      </c>
      <c r="R100" s="17" t="s">
        <v>626</v>
      </c>
      <c r="S100" s="17" t="s">
        <v>490</v>
      </c>
      <c r="T100" s="17" t="s">
        <v>465</v>
      </c>
      <c r="U100" s="17" t="s">
        <v>465</v>
      </c>
      <c r="V100" s="17" t="s">
        <v>465</v>
      </c>
      <c r="W100" s="17" t="s">
        <v>465</v>
      </c>
      <c r="X100" s="17" t="s">
        <v>705</v>
      </c>
      <c r="Y100" s="17" t="s">
        <v>705</v>
      </c>
      <c r="Z100" s="17" t="s">
        <v>705</v>
      </c>
    </row>
    <row r="101" spans="1:26">
      <c r="A101" s="17">
        <v>2</v>
      </c>
      <c r="B101" s="14" t="s">
        <v>465</v>
      </c>
      <c r="C101" s="14"/>
      <c r="D101" s="14" t="s">
        <v>465</v>
      </c>
      <c r="E101" s="14" t="s">
        <v>465</v>
      </c>
      <c r="F101" s="14" t="s">
        <v>465</v>
      </c>
      <c r="G101" s="14" t="s">
        <v>663</v>
      </c>
      <c r="H101" s="14" t="s">
        <v>325</v>
      </c>
      <c r="I101" s="14"/>
      <c r="J101" s="14" t="s">
        <v>465</v>
      </c>
      <c r="K101" s="14" t="s">
        <v>465</v>
      </c>
      <c r="L101" s="14" t="s">
        <v>815</v>
      </c>
      <c r="M101" s="15" t="s">
        <v>817</v>
      </c>
      <c r="N101" s="14" t="s">
        <v>715</v>
      </c>
      <c r="O101" s="14" t="s">
        <v>734</v>
      </c>
      <c r="P101" s="14" t="s">
        <v>816</v>
      </c>
      <c r="Q101" s="14" t="s">
        <v>628</v>
      </c>
      <c r="R101" s="14" t="s">
        <v>637</v>
      </c>
      <c r="S101" s="14" t="s">
        <v>581</v>
      </c>
      <c r="T101" s="14" t="s">
        <v>465</v>
      </c>
      <c r="U101" s="14" t="s">
        <v>138</v>
      </c>
      <c r="V101" s="14" t="s">
        <v>465</v>
      </c>
      <c r="W101" s="14" t="s">
        <v>357</v>
      </c>
      <c r="X101" s="14" t="s">
        <v>815</v>
      </c>
      <c r="Y101" s="14" t="s">
        <v>815</v>
      </c>
      <c r="Z101" s="14" t="s">
        <v>815</v>
      </c>
    </row>
    <row r="102" spans="1:26">
      <c r="A102" s="17">
        <v>1</v>
      </c>
      <c r="B102" s="19" t="s">
        <v>814</v>
      </c>
      <c r="C102" s="19" t="s">
        <v>796</v>
      </c>
      <c r="D102" s="19" t="s">
        <v>24</v>
      </c>
      <c r="E102" s="19" t="s">
        <v>465</v>
      </c>
      <c r="F102" s="19" t="s">
        <v>465</v>
      </c>
      <c r="G102" s="19" t="s">
        <v>806</v>
      </c>
      <c r="H102" s="19" t="s">
        <v>187</v>
      </c>
      <c r="I102" s="19" t="s">
        <v>465</v>
      </c>
      <c r="J102" s="19" t="s">
        <v>465</v>
      </c>
      <c r="K102" s="19" t="s">
        <v>465</v>
      </c>
      <c r="L102" s="19" t="s">
        <v>791</v>
      </c>
      <c r="M102" s="21" t="s">
        <v>465</v>
      </c>
      <c r="N102" s="19" t="s">
        <v>465</v>
      </c>
      <c r="O102" s="19" t="s">
        <v>498</v>
      </c>
      <c r="P102" s="19" t="s">
        <v>465</v>
      </c>
      <c r="Q102" s="19" t="s">
        <v>498</v>
      </c>
      <c r="R102" s="19" t="s">
        <v>465</v>
      </c>
      <c r="S102" s="19" t="s">
        <v>465</v>
      </c>
      <c r="T102" s="19" t="s">
        <v>465</v>
      </c>
      <c r="U102" s="19" t="s">
        <v>465</v>
      </c>
      <c r="V102" s="19" t="s">
        <v>791</v>
      </c>
      <c r="W102" s="19" t="s">
        <v>465</v>
      </c>
      <c r="X102" s="19" t="s">
        <v>791</v>
      </c>
      <c r="Y102" s="19" t="s">
        <v>791</v>
      </c>
      <c r="Z102" s="19" t="s">
        <v>791</v>
      </c>
    </row>
    <row r="103" spans="1:26">
      <c r="A103" s="17">
        <v>0</v>
      </c>
      <c r="B103" s="17" t="s">
        <v>465</v>
      </c>
      <c r="C103" s="17"/>
      <c r="D103" s="17" t="s">
        <v>233</v>
      </c>
      <c r="E103" s="17" t="s">
        <v>521</v>
      </c>
      <c r="F103" s="17" t="s">
        <v>465</v>
      </c>
      <c r="G103" s="17" t="s">
        <v>332</v>
      </c>
      <c r="H103" s="17" t="s">
        <v>333</v>
      </c>
      <c r="I103" s="17" t="s">
        <v>465</v>
      </c>
      <c r="J103" s="17" t="s">
        <v>465</v>
      </c>
      <c r="K103" s="17" t="s">
        <v>465</v>
      </c>
      <c r="L103" s="17" t="s">
        <v>800</v>
      </c>
      <c r="M103" s="18" t="s">
        <v>812</v>
      </c>
      <c r="N103" s="17" t="s">
        <v>465</v>
      </c>
      <c r="O103" s="17" t="s">
        <v>700</v>
      </c>
      <c r="P103" s="22" t="s">
        <v>813</v>
      </c>
      <c r="Q103" s="17" t="s">
        <v>632</v>
      </c>
      <c r="R103" s="17" t="s">
        <v>465</v>
      </c>
      <c r="S103" s="17" t="s">
        <v>33</v>
      </c>
      <c r="T103" s="17" t="s">
        <v>465</v>
      </c>
      <c r="U103" s="17" t="s">
        <v>490</v>
      </c>
      <c r="V103" s="17" t="s">
        <v>465</v>
      </c>
      <c r="W103" s="17" t="s">
        <v>465</v>
      </c>
      <c r="X103" s="17" t="s">
        <v>800</v>
      </c>
      <c r="Y103" s="17" t="s">
        <v>800</v>
      </c>
      <c r="Z103" s="17" t="s">
        <v>800</v>
      </c>
    </row>
    <row r="104" spans="1:26">
      <c r="A104" s="17">
        <v>2</v>
      </c>
      <c r="B104" s="14" t="s">
        <v>465</v>
      </c>
      <c r="C104" s="14"/>
      <c r="D104" s="14" t="s">
        <v>465</v>
      </c>
      <c r="E104" s="14" t="s">
        <v>465</v>
      </c>
      <c r="F104" s="14" t="s">
        <v>465</v>
      </c>
      <c r="G104" s="14" t="s">
        <v>806</v>
      </c>
      <c r="H104" s="14" t="s">
        <v>334</v>
      </c>
      <c r="I104" s="14"/>
      <c r="J104" s="14" t="s">
        <v>465</v>
      </c>
      <c r="K104" s="14" t="s">
        <v>465</v>
      </c>
      <c r="L104" s="14" t="s">
        <v>809</v>
      </c>
      <c r="M104" s="15" t="s">
        <v>812</v>
      </c>
      <c r="N104" s="14" t="s">
        <v>632</v>
      </c>
      <c r="O104" s="14" t="s">
        <v>700</v>
      </c>
      <c r="P104" s="14" t="s">
        <v>811</v>
      </c>
      <c r="Q104" s="14" t="s">
        <v>632</v>
      </c>
      <c r="R104" s="14" t="s">
        <v>465</v>
      </c>
      <c r="S104" s="14" t="s">
        <v>33</v>
      </c>
      <c r="T104" s="14" t="s">
        <v>465</v>
      </c>
      <c r="U104" s="14" t="s">
        <v>490</v>
      </c>
      <c r="V104" s="14" t="s">
        <v>791</v>
      </c>
      <c r="W104" s="14" t="s">
        <v>810</v>
      </c>
      <c r="X104" s="14" t="s">
        <v>809</v>
      </c>
      <c r="Y104" s="14" t="s">
        <v>809</v>
      </c>
      <c r="Z104" s="14" t="s">
        <v>809</v>
      </c>
    </row>
    <row r="105" spans="1:26">
      <c r="A105" s="17">
        <v>1</v>
      </c>
      <c r="B105" s="19" t="s">
        <v>808</v>
      </c>
      <c r="C105" s="19" t="s">
        <v>796</v>
      </c>
      <c r="D105" s="19" t="s">
        <v>24</v>
      </c>
      <c r="E105" s="19" t="s">
        <v>465</v>
      </c>
      <c r="F105" s="19" t="s">
        <v>465</v>
      </c>
      <c r="G105" s="19" t="s">
        <v>806</v>
      </c>
      <c r="H105" s="19" t="s">
        <v>187</v>
      </c>
      <c r="I105" s="19" t="s">
        <v>465</v>
      </c>
      <c r="J105" s="19" t="s">
        <v>465</v>
      </c>
      <c r="K105" s="19" t="s">
        <v>465</v>
      </c>
      <c r="L105" s="19" t="s">
        <v>791</v>
      </c>
      <c r="M105" s="21" t="s">
        <v>465</v>
      </c>
      <c r="N105" s="19" t="s">
        <v>465</v>
      </c>
      <c r="O105" s="19" t="s">
        <v>498</v>
      </c>
      <c r="P105" s="19" t="s">
        <v>465</v>
      </c>
      <c r="Q105" s="19" t="s">
        <v>498</v>
      </c>
      <c r="R105" s="19" t="s">
        <v>465</v>
      </c>
      <c r="S105" s="19" t="s">
        <v>465</v>
      </c>
      <c r="T105" s="19" t="s">
        <v>465</v>
      </c>
      <c r="U105" s="19" t="s">
        <v>465</v>
      </c>
      <c r="V105" s="19" t="s">
        <v>791</v>
      </c>
      <c r="W105" s="19" t="s">
        <v>465</v>
      </c>
      <c r="X105" s="19" t="s">
        <v>791</v>
      </c>
      <c r="Y105" s="19" t="s">
        <v>791</v>
      </c>
      <c r="Z105" s="19" t="s">
        <v>791</v>
      </c>
    </row>
    <row r="106" spans="1:26">
      <c r="A106" s="17">
        <v>0</v>
      </c>
      <c r="B106" s="17" t="s">
        <v>465</v>
      </c>
      <c r="C106" s="17"/>
      <c r="D106" s="17" t="s">
        <v>41</v>
      </c>
      <c r="E106" s="17" t="s">
        <v>529</v>
      </c>
      <c r="F106" s="17" t="s">
        <v>465</v>
      </c>
      <c r="G106" s="17" t="s">
        <v>338</v>
      </c>
      <c r="H106" s="17" t="s">
        <v>339</v>
      </c>
      <c r="I106" s="17" t="s">
        <v>465</v>
      </c>
      <c r="J106" s="17" t="s">
        <v>465</v>
      </c>
      <c r="K106" s="17" t="s">
        <v>465</v>
      </c>
      <c r="L106" s="17" t="s">
        <v>670</v>
      </c>
      <c r="M106" s="18" t="s">
        <v>725</v>
      </c>
      <c r="N106" s="17" t="s">
        <v>465</v>
      </c>
      <c r="O106" s="17" t="s">
        <v>537</v>
      </c>
      <c r="P106" s="22" t="s">
        <v>807</v>
      </c>
      <c r="Q106" s="17" t="s">
        <v>498</v>
      </c>
      <c r="R106" s="17" t="s">
        <v>545</v>
      </c>
      <c r="S106" s="17" t="s">
        <v>33</v>
      </c>
      <c r="T106" s="17" t="s">
        <v>465</v>
      </c>
      <c r="U106" s="17" t="s">
        <v>465</v>
      </c>
      <c r="V106" s="17" t="s">
        <v>465</v>
      </c>
      <c r="W106" s="17" t="s">
        <v>465</v>
      </c>
      <c r="X106" s="17" t="s">
        <v>670</v>
      </c>
      <c r="Y106" s="17" t="s">
        <v>670</v>
      </c>
      <c r="Z106" s="17" t="s">
        <v>670</v>
      </c>
    </row>
    <row r="107" spans="1:26">
      <c r="A107" s="17">
        <v>2</v>
      </c>
      <c r="B107" s="14" t="s">
        <v>465</v>
      </c>
      <c r="C107" s="14"/>
      <c r="D107" s="14" t="s">
        <v>465</v>
      </c>
      <c r="E107" s="14" t="s">
        <v>465</v>
      </c>
      <c r="F107" s="14" t="s">
        <v>465</v>
      </c>
      <c r="G107" s="14" t="s">
        <v>806</v>
      </c>
      <c r="H107" s="14" t="s">
        <v>341</v>
      </c>
      <c r="I107" s="14"/>
      <c r="J107" s="14" t="s">
        <v>465</v>
      </c>
      <c r="K107" s="14" t="s">
        <v>465</v>
      </c>
      <c r="L107" s="14" t="s">
        <v>651</v>
      </c>
      <c r="M107" s="15" t="s">
        <v>725</v>
      </c>
      <c r="N107" s="14" t="s">
        <v>41</v>
      </c>
      <c r="O107" s="14" t="s">
        <v>537</v>
      </c>
      <c r="P107" s="14" t="s">
        <v>805</v>
      </c>
      <c r="Q107" s="14" t="s">
        <v>498</v>
      </c>
      <c r="R107" s="14" t="s">
        <v>545</v>
      </c>
      <c r="S107" s="14" t="s">
        <v>33</v>
      </c>
      <c r="T107" s="14" t="s">
        <v>465</v>
      </c>
      <c r="U107" s="14" t="s">
        <v>465</v>
      </c>
      <c r="V107" s="14" t="s">
        <v>791</v>
      </c>
      <c r="W107" s="14" t="s">
        <v>804</v>
      </c>
      <c r="X107" s="14" t="s">
        <v>651</v>
      </c>
      <c r="Y107" s="14" t="s">
        <v>651</v>
      </c>
      <c r="Z107" s="14" t="s">
        <v>651</v>
      </c>
    </row>
    <row r="108" spans="1:26">
      <c r="A108" s="17">
        <v>1</v>
      </c>
      <c r="B108" s="19" t="s">
        <v>803</v>
      </c>
      <c r="C108" s="19" t="s">
        <v>796</v>
      </c>
      <c r="D108" s="19" t="s">
        <v>233</v>
      </c>
      <c r="E108" s="19" t="s">
        <v>570</v>
      </c>
      <c r="F108" s="19" t="s">
        <v>465</v>
      </c>
      <c r="G108" s="19" t="s">
        <v>740</v>
      </c>
      <c r="H108" s="19" t="s">
        <v>346</v>
      </c>
      <c r="I108" s="19" t="s">
        <v>465</v>
      </c>
      <c r="J108" s="19" t="s">
        <v>465</v>
      </c>
      <c r="K108" s="19" t="s">
        <v>465</v>
      </c>
      <c r="L108" s="19" t="s">
        <v>718</v>
      </c>
      <c r="M108" s="21" t="s">
        <v>800</v>
      </c>
      <c r="N108" s="19" t="s">
        <v>465</v>
      </c>
      <c r="O108" s="19" t="s">
        <v>593</v>
      </c>
      <c r="P108" s="20" t="s">
        <v>802</v>
      </c>
      <c r="Q108" s="19" t="s">
        <v>554</v>
      </c>
      <c r="R108" s="19" t="s">
        <v>465</v>
      </c>
      <c r="S108" s="19" t="s">
        <v>33</v>
      </c>
      <c r="T108" s="19" t="s">
        <v>465</v>
      </c>
      <c r="U108" s="19" t="s">
        <v>33</v>
      </c>
      <c r="V108" s="19" t="s">
        <v>465</v>
      </c>
      <c r="W108" s="19" t="s">
        <v>465</v>
      </c>
      <c r="X108" s="19" t="s">
        <v>718</v>
      </c>
      <c r="Y108" s="19" t="s">
        <v>718</v>
      </c>
      <c r="Z108" s="19" t="s">
        <v>718</v>
      </c>
    </row>
    <row r="109" spans="1:26">
      <c r="A109" s="17">
        <v>0</v>
      </c>
      <c r="B109" s="17" t="s">
        <v>465</v>
      </c>
      <c r="C109" s="17"/>
      <c r="D109" s="17" t="s">
        <v>24</v>
      </c>
      <c r="E109" s="17" t="s">
        <v>465</v>
      </c>
      <c r="F109" s="17" t="s">
        <v>465</v>
      </c>
      <c r="G109" s="17" t="s">
        <v>349</v>
      </c>
      <c r="H109" s="17" t="s">
        <v>350</v>
      </c>
      <c r="I109" s="17" t="s">
        <v>465</v>
      </c>
      <c r="J109" s="17" t="s">
        <v>465</v>
      </c>
      <c r="K109" s="17" t="s">
        <v>465</v>
      </c>
      <c r="L109" s="17" t="s">
        <v>791</v>
      </c>
      <c r="M109" s="18" t="s">
        <v>465</v>
      </c>
      <c r="N109" s="17" t="s">
        <v>465</v>
      </c>
      <c r="O109" s="17" t="s">
        <v>498</v>
      </c>
      <c r="P109" s="17" t="s">
        <v>465</v>
      </c>
      <c r="Q109" s="17" t="s">
        <v>498</v>
      </c>
      <c r="R109" s="17" t="s">
        <v>465</v>
      </c>
      <c r="S109" s="17" t="s">
        <v>465</v>
      </c>
      <c r="T109" s="17" t="s">
        <v>465</v>
      </c>
      <c r="U109" s="17" t="s">
        <v>465</v>
      </c>
      <c r="V109" s="17" t="s">
        <v>791</v>
      </c>
      <c r="W109" s="17" t="s">
        <v>465</v>
      </c>
      <c r="X109" s="17" t="s">
        <v>791</v>
      </c>
      <c r="Y109" s="17" t="s">
        <v>791</v>
      </c>
      <c r="Z109" s="17" t="s">
        <v>791</v>
      </c>
    </row>
    <row r="110" spans="1:26">
      <c r="A110" s="17">
        <v>2</v>
      </c>
      <c r="B110" s="14" t="s">
        <v>465</v>
      </c>
      <c r="C110" s="14"/>
      <c r="D110" s="14" t="s">
        <v>465</v>
      </c>
      <c r="E110" s="14" t="s">
        <v>465</v>
      </c>
      <c r="F110" s="14" t="s">
        <v>465</v>
      </c>
      <c r="G110" s="14" t="s">
        <v>801</v>
      </c>
      <c r="H110" s="14" t="s">
        <v>350</v>
      </c>
      <c r="I110" s="14"/>
      <c r="J110" s="14" t="s">
        <v>465</v>
      </c>
      <c r="K110" s="14" t="s">
        <v>465</v>
      </c>
      <c r="L110" s="14" t="s">
        <v>798</v>
      </c>
      <c r="M110" s="15" t="s">
        <v>800</v>
      </c>
      <c r="N110" s="14" t="s">
        <v>554</v>
      </c>
      <c r="O110" s="14" t="s">
        <v>593</v>
      </c>
      <c r="P110" s="14" t="s">
        <v>799</v>
      </c>
      <c r="Q110" s="14" t="s">
        <v>554</v>
      </c>
      <c r="R110" s="14" t="s">
        <v>465</v>
      </c>
      <c r="S110" s="14" t="s">
        <v>33</v>
      </c>
      <c r="T110" s="14" t="s">
        <v>465</v>
      </c>
      <c r="U110" s="14" t="s">
        <v>33</v>
      </c>
      <c r="V110" s="14" t="s">
        <v>791</v>
      </c>
      <c r="W110" s="14" t="s">
        <v>273</v>
      </c>
      <c r="X110" s="14" t="s">
        <v>798</v>
      </c>
      <c r="Y110" s="14" t="s">
        <v>798</v>
      </c>
      <c r="Z110" s="14" t="s">
        <v>798</v>
      </c>
    </row>
    <row r="111" spans="1:26">
      <c r="A111" s="17">
        <v>1</v>
      </c>
      <c r="B111" s="19" t="s">
        <v>797</v>
      </c>
      <c r="C111" s="19" t="s">
        <v>796</v>
      </c>
      <c r="D111" s="19" t="s">
        <v>233</v>
      </c>
      <c r="E111" s="19" t="s">
        <v>490</v>
      </c>
      <c r="F111" s="19" t="s">
        <v>465</v>
      </c>
      <c r="G111" s="19" t="s">
        <v>795</v>
      </c>
      <c r="H111" s="19" t="s">
        <v>353</v>
      </c>
      <c r="I111" s="19" t="s">
        <v>465</v>
      </c>
      <c r="J111" s="19" t="s">
        <v>465</v>
      </c>
      <c r="K111" s="19" t="s">
        <v>465</v>
      </c>
      <c r="L111" s="19" t="s">
        <v>565</v>
      </c>
      <c r="M111" s="21" t="s">
        <v>768</v>
      </c>
      <c r="N111" s="19" t="s">
        <v>465</v>
      </c>
      <c r="O111" s="19" t="s">
        <v>577</v>
      </c>
      <c r="P111" s="20" t="s">
        <v>794</v>
      </c>
      <c r="Q111" s="19" t="s">
        <v>611</v>
      </c>
      <c r="R111" s="19" t="s">
        <v>465</v>
      </c>
      <c r="S111" s="19" t="s">
        <v>33</v>
      </c>
      <c r="T111" s="19" t="s">
        <v>465</v>
      </c>
      <c r="U111" s="19" t="s">
        <v>33</v>
      </c>
      <c r="V111" s="19" t="s">
        <v>465</v>
      </c>
      <c r="W111" s="19" t="s">
        <v>465</v>
      </c>
      <c r="X111" s="19" t="s">
        <v>565</v>
      </c>
      <c r="Y111" s="19" t="s">
        <v>565</v>
      </c>
      <c r="Z111" s="19" t="s">
        <v>565</v>
      </c>
    </row>
    <row r="112" spans="1:26">
      <c r="A112" s="17">
        <v>0</v>
      </c>
      <c r="B112" s="17" t="s">
        <v>465</v>
      </c>
      <c r="C112" s="17"/>
      <c r="D112" s="17" t="s">
        <v>24</v>
      </c>
      <c r="E112" s="17" t="s">
        <v>465</v>
      </c>
      <c r="F112" s="17" t="s">
        <v>465</v>
      </c>
      <c r="G112" s="17" t="s">
        <v>349</v>
      </c>
      <c r="H112" s="17" t="s">
        <v>350</v>
      </c>
      <c r="I112" s="17" t="s">
        <v>465</v>
      </c>
      <c r="J112" s="17" t="s">
        <v>465</v>
      </c>
      <c r="K112" s="17" t="s">
        <v>465</v>
      </c>
      <c r="L112" s="17" t="s">
        <v>791</v>
      </c>
      <c r="M112" s="18" t="s">
        <v>465</v>
      </c>
      <c r="N112" s="17" t="s">
        <v>465</v>
      </c>
      <c r="O112" s="17" t="s">
        <v>498</v>
      </c>
      <c r="P112" s="17" t="s">
        <v>465</v>
      </c>
      <c r="Q112" s="17" t="s">
        <v>498</v>
      </c>
      <c r="R112" s="17" t="s">
        <v>465</v>
      </c>
      <c r="S112" s="17" t="s">
        <v>465</v>
      </c>
      <c r="T112" s="17" t="s">
        <v>465</v>
      </c>
      <c r="U112" s="17" t="s">
        <v>465</v>
      </c>
      <c r="V112" s="17" t="s">
        <v>791</v>
      </c>
      <c r="W112" s="17" t="s">
        <v>465</v>
      </c>
      <c r="X112" s="17" t="s">
        <v>791</v>
      </c>
      <c r="Y112" s="17" t="s">
        <v>791</v>
      </c>
      <c r="Z112" s="17" t="s">
        <v>791</v>
      </c>
    </row>
    <row r="113" spans="1:26">
      <c r="A113" s="17">
        <v>2</v>
      </c>
      <c r="B113" s="14" t="s">
        <v>465</v>
      </c>
      <c r="C113" s="14"/>
      <c r="D113" s="14" t="s">
        <v>465</v>
      </c>
      <c r="E113" s="14" t="s">
        <v>465</v>
      </c>
      <c r="F113" s="14" t="s">
        <v>465</v>
      </c>
      <c r="G113" s="14" t="s">
        <v>793</v>
      </c>
      <c r="H113" s="14" t="s">
        <v>350</v>
      </c>
      <c r="I113" s="14"/>
      <c r="J113" s="14" t="s">
        <v>465</v>
      </c>
      <c r="K113" s="14" t="s">
        <v>465</v>
      </c>
      <c r="L113" s="14" t="s">
        <v>790</v>
      </c>
      <c r="M113" s="15" t="s">
        <v>768</v>
      </c>
      <c r="N113" s="14" t="s">
        <v>554</v>
      </c>
      <c r="O113" s="14" t="s">
        <v>577</v>
      </c>
      <c r="P113" s="14" t="s">
        <v>792</v>
      </c>
      <c r="Q113" s="14" t="s">
        <v>611</v>
      </c>
      <c r="R113" s="14" t="s">
        <v>465</v>
      </c>
      <c r="S113" s="14" t="s">
        <v>33</v>
      </c>
      <c r="T113" s="14" t="s">
        <v>465</v>
      </c>
      <c r="U113" s="14" t="s">
        <v>33</v>
      </c>
      <c r="V113" s="14" t="s">
        <v>791</v>
      </c>
      <c r="W113" s="14" t="s">
        <v>213</v>
      </c>
      <c r="X113" s="14" t="s">
        <v>790</v>
      </c>
      <c r="Y113" s="14" t="s">
        <v>790</v>
      </c>
      <c r="Z113" s="14" t="s">
        <v>790</v>
      </c>
    </row>
    <row r="114" spans="1:26">
      <c r="A114" s="17">
        <v>1</v>
      </c>
      <c r="B114" s="19" t="s">
        <v>125</v>
      </c>
      <c r="C114" s="19" t="s">
        <v>505</v>
      </c>
      <c r="D114" s="19" t="s">
        <v>41</v>
      </c>
      <c r="E114" s="19" t="s">
        <v>529</v>
      </c>
      <c r="F114" s="19" t="s">
        <v>465</v>
      </c>
      <c r="G114" s="19" t="s">
        <v>123</v>
      </c>
      <c r="H114" s="19" t="s">
        <v>338</v>
      </c>
      <c r="I114" s="19" t="s">
        <v>528</v>
      </c>
      <c r="J114" s="19" t="s">
        <v>788</v>
      </c>
      <c r="K114" s="19" t="s">
        <v>513</v>
      </c>
      <c r="L114" s="19" t="s">
        <v>789</v>
      </c>
      <c r="M114" s="21" t="s">
        <v>749</v>
      </c>
      <c r="N114" s="19" t="s">
        <v>465</v>
      </c>
      <c r="O114" s="19" t="s">
        <v>702</v>
      </c>
      <c r="P114" s="20" t="s">
        <v>748</v>
      </c>
      <c r="Q114" s="19" t="s">
        <v>498</v>
      </c>
      <c r="R114" s="19" t="s">
        <v>626</v>
      </c>
      <c r="S114" s="19" t="s">
        <v>490</v>
      </c>
      <c r="T114" s="19" t="s">
        <v>465</v>
      </c>
      <c r="U114" s="19" t="s">
        <v>521</v>
      </c>
      <c r="V114" s="19" t="s">
        <v>465</v>
      </c>
      <c r="W114" s="19" t="s">
        <v>465</v>
      </c>
      <c r="X114" s="19" t="s">
        <v>789</v>
      </c>
      <c r="Y114" s="19" t="s">
        <v>566</v>
      </c>
      <c r="Z114" s="19" t="s">
        <v>655</v>
      </c>
    </row>
    <row r="115" spans="1:26">
      <c r="A115" s="17">
        <v>0</v>
      </c>
      <c r="B115" s="17" t="s">
        <v>465</v>
      </c>
      <c r="C115" s="17"/>
      <c r="D115" s="17" t="s">
        <v>233</v>
      </c>
      <c r="E115" s="17" t="s">
        <v>570</v>
      </c>
      <c r="F115" s="17" t="s">
        <v>465</v>
      </c>
      <c r="G115" s="17" t="s">
        <v>358</v>
      </c>
      <c r="H115" s="17" t="s">
        <v>359</v>
      </c>
      <c r="I115" s="17"/>
      <c r="J115" s="17" t="s">
        <v>465</v>
      </c>
      <c r="K115" s="17" t="s">
        <v>465</v>
      </c>
      <c r="L115" s="17" t="s">
        <v>777</v>
      </c>
      <c r="M115" s="18" t="s">
        <v>778</v>
      </c>
      <c r="N115" s="17" t="s">
        <v>465</v>
      </c>
      <c r="O115" s="17" t="s">
        <v>632</v>
      </c>
      <c r="P115" s="22" t="s">
        <v>631</v>
      </c>
      <c r="Q115" s="17" t="s">
        <v>484</v>
      </c>
      <c r="R115" s="17" t="s">
        <v>465</v>
      </c>
      <c r="S115" s="17" t="s">
        <v>490</v>
      </c>
      <c r="T115" s="17" t="s">
        <v>465</v>
      </c>
      <c r="U115" s="17" t="s">
        <v>159</v>
      </c>
      <c r="V115" s="17" t="s">
        <v>465</v>
      </c>
      <c r="W115" s="17" t="s">
        <v>465</v>
      </c>
      <c r="X115" s="17" t="s">
        <v>777</v>
      </c>
      <c r="Y115" s="17" t="s">
        <v>777</v>
      </c>
      <c r="Z115" s="17" t="s">
        <v>777</v>
      </c>
    </row>
    <row r="116" spans="1:26">
      <c r="A116" s="17">
        <v>2</v>
      </c>
      <c r="B116" s="14" t="s">
        <v>465</v>
      </c>
      <c r="C116" s="14"/>
      <c r="D116" s="14" t="s">
        <v>465</v>
      </c>
      <c r="E116" s="14" t="s">
        <v>465</v>
      </c>
      <c r="F116" s="14" t="s">
        <v>465</v>
      </c>
      <c r="G116" s="14" t="s">
        <v>357</v>
      </c>
      <c r="H116" s="14" t="s">
        <v>360</v>
      </c>
      <c r="I116" s="14"/>
      <c r="J116" s="14" t="s">
        <v>788</v>
      </c>
      <c r="K116" s="14" t="s">
        <v>513</v>
      </c>
      <c r="L116" s="14" t="s">
        <v>784</v>
      </c>
      <c r="M116" s="15" t="s">
        <v>787</v>
      </c>
      <c r="N116" s="14" t="s">
        <v>511</v>
      </c>
      <c r="O116" s="14" t="s">
        <v>786</v>
      </c>
      <c r="P116" s="14" t="s">
        <v>785</v>
      </c>
      <c r="Q116" s="14" t="s">
        <v>484</v>
      </c>
      <c r="R116" s="14" t="s">
        <v>626</v>
      </c>
      <c r="S116" s="14" t="s">
        <v>33</v>
      </c>
      <c r="T116" s="14" t="s">
        <v>465</v>
      </c>
      <c r="U116" s="14" t="s">
        <v>484</v>
      </c>
      <c r="V116" s="14" t="s">
        <v>465</v>
      </c>
      <c r="W116" s="14" t="s">
        <v>784</v>
      </c>
      <c r="X116" s="14" t="s">
        <v>784</v>
      </c>
      <c r="Y116" s="14" t="s">
        <v>773</v>
      </c>
      <c r="Z116" s="14" t="s">
        <v>687</v>
      </c>
    </row>
    <row r="117" spans="1:26">
      <c r="A117" s="17">
        <v>1</v>
      </c>
      <c r="B117" s="19" t="s">
        <v>186</v>
      </c>
      <c r="C117" s="19" t="s">
        <v>505</v>
      </c>
      <c r="D117" s="19" t="s">
        <v>138</v>
      </c>
      <c r="E117" s="19" t="s">
        <v>491</v>
      </c>
      <c r="F117" s="19" t="s">
        <v>465</v>
      </c>
      <c r="G117" s="19" t="s">
        <v>185</v>
      </c>
      <c r="H117" s="19" t="s">
        <v>362</v>
      </c>
      <c r="I117" s="19" t="s">
        <v>528</v>
      </c>
      <c r="J117" s="19" t="s">
        <v>520</v>
      </c>
      <c r="K117" s="19" t="s">
        <v>513</v>
      </c>
      <c r="L117" s="19" t="s">
        <v>711</v>
      </c>
      <c r="M117" s="21" t="s">
        <v>697</v>
      </c>
      <c r="N117" s="19" t="s">
        <v>465</v>
      </c>
      <c r="O117" s="19" t="s">
        <v>33</v>
      </c>
      <c r="P117" s="20" t="s">
        <v>706</v>
      </c>
      <c r="Q117" s="19" t="s">
        <v>511</v>
      </c>
      <c r="R117" s="19" t="s">
        <v>465</v>
      </c>
      <c r="S117" s="19" t="s">
        <v>490</v>
      </c>
      <c r="T117" s="19" t="s">
        <v>465</v>
      </c>
      <c r="U117" s="19" t="s">
        <v>521</v>
      </c>
      <c r="V117" s="19" t="s">
        <v>465</v>
      </c>
      <c r="W117" s="19" t="s">
        <v>465</v>
      </c>
      <c r="X117" s="19" t="s">
        <v>711</v>
      </c>
      <c r="Y117" s="19" t="s">
        <v>547</v>
      </c>
      <c r="Z117" s="19" t="s">
        <v>783</v>
      </c>
    </row>
    <row r="118" spans="1:26">
      <c r="A118" s="17">
        <v>0</v>
      </c>
      <c r="B118" s="17" t="s">
        <v>465</v>
      </c>
      <c r="C118" s="17"/>
      <c r="D118" s="17" t="s">
        <v>142</v>
      </c>
      <c r="E118" s="17" t="s">
        <v>491</v>
      </c>
      <c r="F118" s="17" t="s">
        <v>465</v>
      </c>
      <c r="G118" s="17" t="s">
        <v>365</v>
      </c>
      <c r="H118" s="17" t="s">
        <v>366</v>
      </c>
      <c r="I118" s="17"/>
      <c r="J118" s="17" t="s">
        <v>465</v>
      </c>
      <c r="K118" s="17" t="s">
        <v>465</v>
      </c>
      <c r="L118" s="17" t="s">
        <v>557</v>
      </c>
      <c r="M118" s="18" t="s">
        <v>495</v>
      </c>
      <c r="N118" s="17" t="s">
        <v>465</v>
      </c>
      <c r="O118" s="17" t="s">
        <v>767</v>
      </c>
      <c r="P118" s="22" t="s">
        <v>766</v>
      </c>
      <c r="Q118" s="17" t="s">
        <v>700</v>
      </c>
      <c r="R118" s="17" t="s">
        <v>465</v>
      </c>
      <c r="S118" s="17" t="s">
        <v>490</v>
      </c>
      <c r="T118" s="17" t="s">
        <v>465</v>
      </c>
      <c r="U118" s="17" t="s">
        <v>509</v>
      </c>
      <c r="V118" s="17" t="s">
        <v>465</v>
      </c>
      <c r="W118" s="17" t="s">
        <v>465</v>
      </c>
      <c r="X118" s="17" t="s">
        <v>557</v>
      </c>
      <c r="Y118" s="17" t="s">
        <v>557</v>
      </c>
      <c r="Z118" s="17" t="s">
        <v>557</v>
      </c>
    </row>
    <row r="119" spans="1:26">
      <c r="A119" s="17">
        <v>2</v>
      </c>
      <c r="B119" s="14" t="s">
        <v>465</v>
      </c>
      <c r="C119" s="14"/>
      <c r="D119" s="14" t="s">
        <v>465</v>
      </c>
      <c r="E119" s="14" t="s">
        <v>465</v>
      </c>
      <c r="F119" s="14" t="s">
        <v>465</v>
      </c>
      <c r="G119" s="14" t="s">
        <v>364</v>
      </c>
      <c r="H119" s="14" t="s">
        <v>367</v>
      </c>
      <c r="I119" s="14"/>
      <c r="J119" s="14" t="s">
        <v>520</v>
      </c>
      <c r="K119" s="14" t="s">
        <v>513</v>
      </c>
      <c r="L119" s="14" t="s">
        <v>780</v>
      </c>
      <c r="M119" s="15" t="s">
        <v>760</v>
      </c>
      <c r="N119" s="14" t="s">
        <v>759</v>
      </c>
      <c r="O119" s="14" t="s">
        <v>715</v>
      </c>
      <c r="P119" s="14" t="s">
        <v>510</v>
      </c>
      <c r="Q119" s="14" t="s">
        <v>782</v>
      </c>
      <c r="R119" s="14" t="s">
        <v>465</v>
      </c>
      <c r="S119" s="14" t="s">
        <v>33</v>
      </c>
      <c r="T119" s="14" t="s">
        <v>465</v>
      </c>
      <c r="U119" s="14" t="s">
        <v>781</v>
      </c>
      <c r="V119" s="14" t="s">
        <v>465</v>
      </c>
      <c r="W119" s="14" t="s">
        <v>780</v>
      </c>
      <c r="X119" s="14" t="s">
        <v>780</v>
      </c>
      <c r="Y119" s="14" t="s">
        <v>779</v>
      </c>
      <c r="Z119" s="14" t="s">
        <v>755</v>
      </c>
    </row>
    <row r="120" spans="1:26">
      <c r="A120" s="17">
        <v>1</v>
      </c>
      <c r="B120" s="19" t="s">
        <v>49</v>
      </c>
      <c r="C120" s="19" t="s">
        <v>505</v>
      </c>
      <c r="D120" s="19" t="s">
        <v>41</v>
      </c>
      <c r="E120" s="19" t="s">
        <v>491</v>
      </c>
      <c r="F120" s="19" t="s">
        <v>465</v>
      </c>
      <c r="G120" s="19" t="s">
        <v>46</v>
      </c>
      <c r="H120" s="19" t="s">
        <v>317</v>
      </c>
      <c r="I120" s="19" t="s">
        <v>528</v>
      </c>
      <c r="J120" s="19" t="s">
        <v>717</v>
      </c>
      <c r="K120" s="19" t="s">
        <v>513</v>
      </c>
      <c r="L120" s="19" t="s">
        <v>719</v>
      </c>
      <c r="M120" s="21" t="s">
        <v>569</v>
      </c>
      <c r="N120" s="19" t="s">
        <v>465</v>
      </c>
      <c r="O120" s="19" t="s">
        <v>568</v>
      </c>
      <c r="P120" s="20" t="s">
        <v>567</v>
      </c>
      <c r="Q120" s="19" t="s">
        <v>554</v>
      </c>
      <c r="R120" s="19" t="s">
        <v>41</v>
      </c>
      <c r="S120" s="19" t="s">
        <v>490</v>
      </c>
      <c r="T120" s="19" t="s">
        <v>465</v>
      </c>
      <c r="U120" s="19" t="s">
        <v>521</v>
      </c>
      <c r="V120" s="19" t="s">
        <v>465</v>
      </c>
      <c r="W120" s="19" t="s">
        <v>465</v>
      </c>
      <c r="X120" s="19" t="s">
        <v>719</v>
      </c>
      <c r="Y120" s="19" t="s">
        <v>566</v>
      </c>
      <c r="Z120" s="19" t="s">
        <v>718</v>
      </c>
    </row>
    <row r="121" spans="1:26">
      <c r="A121" s="17">
        <v>0</v>
      </c>
      <c r="B121" s="17" t="s">
        <v>465</v>
      </c>
      <c r="C121" s="17"/>
      <c r="D121" s="17" t="s">
        <v>233</v>
      </c>
      <c r="E121" s="17" t="s">
        <v>490</v>
      </c>
      <c r="F121" s="17" t="s">
        <v>465</v>
      </c>
      <c r="G121" s="17" t="s">
        <v>266</v>
      </c>
      <c r="H121" s="17" t="s">
        <v>360</v>
      </c>
      <c r="I121" s="17"/>
      <c r="J121" s="17" t="s">
        <v>465</v>
      </c>
      <c r="K121" s="17" t="s">
        <v>465</v>
      </c>
      <c r="L121" s="17" t="s">
        <v>777</v>
      </c>
      <c r="M121" s="18" t="s">
        <v>778</v>
      </c>
      <c r="N121" s="17" t="s">
        <v>465</v>
      </c>
      <c r="O121" s="17" t="s">
        <v>632</v>
      </c>
      <c r="P121" s="22" t="s">
        <v>631</v>
      </c>
      <c r="Q121" s="17" t="s">
        <v>484</v>
      </c>
      <c r="R121" s="17" t="s">
        <v>465</v>
      </c>
      <c r="S121" s="17" t="s">
        <v>490</v>
      </c>
      <c r="T121" s="17" t="s">
        <v>465</v>
      </c>
      <c r="U121" s="17" t="s">
        <v>159</v>
      </c>
      <c r="V121" s="17" t="s">
        <v>465</v>
      </c>
      <c r="W121" s="17" t="s">
        <v>465</v>
      </c>
      <c r="X121" s="17" t="s">
        <v>777</v>
      </c>
      <c r="Y121" s="17" t="s">
        <v>777</v>
      </c>
      <c r="Z121" s="17" t="s">
        <v>777</v>
      </c>
    </row>
    <row r="122" spans="1:26">
      <c r="A122" s="17">
        <v>2</v>
      </c>
      <c r="B122" s="14" t="s">
        <v>465</v>
      </c>
      <c r="C122" s="14"/>
      <c r="D122" s="14" t="s">
        <v>465</v>
      </c>
      <c r="E122" s="14" t="s">
        <v>465</v>
      </c>
      <c r="F122" s="14" t="s">
        <v>465</v>
      </c>
      <c r="G122" s="14" t="s">
        <v>370</v>
      </c>
      <c r="H122" s="14" t="s">
        <v>371</v>
      </c>
      <c r="I122" s="14"/>
      <c r="J122" s="14" t="s">
        <v>717</v>
      </c>
      <c r="K122" s="14" t="s">
        <v>513</v>
      </c>
      <c r="L122" s="14" t="s">
        <v>506</v>
      </c>
      <c r="M122" s="15" t="s">
        <v>776</v>
      </c>
      <c r="N122" s="14" t="s">
        <v>511</v>
      </c>
      <c r="O122" s="14" t="s">
        <v>775</v>
      </c>
      <c r="P122" s="14" t="s">
        <v>774</v>
      </c>
      <c r="Q122" s="14" t="s">
        <v>593</v>
      </c>
      <c r="R122" s="14" t="s">
        <v>41</v>
      </c>
      <c r="S122" s="14" t="s">
        <v>33</v>
      </c>
      <c r="T122" s="14" t="s">
        <v>465</v>
      </c>
      <c r="U122" s="14" t="s">
        <v>484</v>
      </c>
      <c r="V122" s="14" t="s">
        <v>465</v>
      </c>
      <c r="W122" s="14" t="s">
        <v>506</v>
      </c>
      <c r="X122" s="14" t="s">
        <v>506</v>
      </c>
      <c r="Y122" s="14" t="s">
        <v>773</v>
      </c>
      <c r="Z122" s="14" t="s">
        <v>772</v>
      </c>
    </row>
    <row r="123" spans="1:26">
      <c r="A123" s="17">
        <v>1</v>
      </c>
      <c r="B123" s="19" t="s">
        <v>155</v>
      </c>
      <c r="C123" s="19" t="s">
        <v>505</v>
      </c>
      <c r="D123" s="19" t="s">
        <v>81</v>
      </c>
      <c r="E123" s="19" t="s">
        <v>521</v>
      </c>
      <c r="F123" s="19" t="s">
        <v>465</v>
      </c>
      <c r="G123" s="19" t="s">
        <v>50</v>
      </c>
      <c r="H123" s="19" t="s">
        <v>304</v>
      </c>
      <c r="I123" s="19" t="s">
        <v>528</v>
      </c>
      <c r="J123" s="19" t="s">
        <v>480</v>
      </c>
      <c r="K123" s="19" t="s">
        <v>513</v>
      </c>
      <c r="L123" s="19" t="s">
        <v>603</v>
      </c>
      <c r="M123" s="21" t="s">
        <v>605</v>
      </c>
      <c r="N123" s="19" t="s">
        <v>465</v>
      </c>
      <c r="O123" s="19" t="s">
        <v>53</v>
      </c>
      <c r="P123" s="20" t="s">
        <v>604</v>
      </c>
      <c r="Q123" s="19" t="s">
        <v>159</v>
      </c>
      <c r="R123" s="19" t="s">
        <v>81</v>
      </c>
      <c r="S123" s="19" t="s">
        <v>490</v>
      </c>
      <c r="T123" s="19" t="s">
        <v>465</v>
      </c>
      <c r="U123" s="19" t="s">
        <v>521</v>
      </c>
      <c r="V123" s="19" t="s">
        <v>465</v>
      </c>
      <c r="W123" s="19" t="s">
        <v>465</v>
      </c>
      <c r="X123" s="19" t="s">
        <v>603</v>
      </c>
      <c r="Y123" s="19" t="s">
        <v>602</v>
      </c>
      <c r="Z123" s="19" t="s">
        <v>601</v>
      </c>
    </row>
    <row r="124" spans="1:26">
      <c r="A124" s="17">
        <v>0</v>
      </c>
      <c r="B124" s="17" t="s">
        <v>465</v>
      </c>
      <c r="C124" s="17"/>
      <c r="D124" s="17" t="s">
        <v>41</v>
      </c>
      <c r="E124" s="17" t="s">
        <v>521</v>
      </c>
      <c r="F124" s="17" t="s">
        <v>465</v>
      </c>
      <c r="G124" s="17" t="s">
        <v>373</v>
      </c>
      <c r="H124" s="17" t="s">
        <v>374</v>
      </c>
      <c r="I124" s="17"/>
      <c r="J124" s="17" t="s">
        <v>465</v>
      </c>
      <c r="K124" s="17" t="s">
        <v>465</v>
      </c>
      <c r="L124" s="17" t="s">
        <v>587</v>
      </c>
      <c r="M124" s="18" t="s">
        <v>771</v>
      </c>
      <c r="N124" s="17" t="s">
        <v>465</v>
      </c>
      <c r="O124" s="17" t="s">
        <v>702</v>
      </c>
      <c r="P124" s="22" t="s">
        <v>748</v>
      </c>
      <c r="Q124" s="17" t="s">
        <v>498</v>
      </c>
      <c r="R124" s="17" t="s">
        <v>33</v>
      </c>
      <c r="S124" s="17" t="s">
        <v>490</v>
      </c>
      <c r="T124" s="17" t="s">
        <v>465</v>
      </c>
      <c r="U124" s="17" t="s">
        <v>159</v>
      </c>
      <c r="V124" s="17" t="s">
        <v>465</v>
      </c>
      <c r="W124" s="17" t="s">
        <v>465</v>
      </c>
      <c r="X124" s="17" t="s">
        <v>587</v>
      </c>
      <c r="Y124" s="17" t="s">
        <v>587</v>
      </c>
      <c r="Z124" s="17" t="s">
        <v>587</v>
      </c>
    </row>
    <row r="125" spans="1:26">
      <c r="A125" s="17">
        <v>2</v>
      </c>
      <c r="B125" s="14" t="s">
        <v>465</v>
      </c>
      <c r="C125" s="14"/>
      <c r="D125" s="14" t="s">
        <v>465</v>
      </c>
      <c r="E125" s="14" t="s">
        <v>465</v>
      </c>
      <c r="F125" s="14" t="s">
        <v>465</v>
      </c>
      <c r="G125" s="14" t="s">
        <v>46</v>
      </c>
      <c r="H125" s="14" t="s">
        <v>375</v>
      </c>
      <c r="I125" s="14"/>
      <c r="J125" s="14" t="s">
        <v>480</v>
      </c>
      <c r="K125" s="14" t="s">
        <v>513</v>
      </c>
      <c r="L125" s="14" t="s">
        <v>532</v>
      </c>
      <c r="M125" s="15" t="s">
        <v>770</v>
      </c>
      <c r="N125" s="14" t="s">
        <v>645</v>
      </c>
      <c r="O125" s="14" t="s">
        <v>769</v>
      </c>
      <c r="P125" s="14" t="s">
        <v>750</v>
      </c>
      <c r="Q125" s="14" t="s">
        <v>159</v>
      </c>
      <c r="R125" s="14" t="s">
        <v>611</v>
      </c>
      <c r="S125" s="14" t="s">
        <v>33</v>
      </c>
      <c r="T125" s="14" t="s">
        <v>465</v>
      </c>
      <c r="U125" s="14" t="s">
        <v>484</v>
      </c>
      <c r="V125" s="14" t="s">
        <v>465</v>
      </c>
      <c r="W125" s="14" t="s">
        <v>532</v>
      </c>
      <c r="X125" s="14" t="s">
        <v>532</v>
      </c>
      <c r="Y125" s="14" t="s">
        <v>680</v>
      </c>
      <c r="Z125" s="14" t="s">
        <v>530</v>
      </c>
    </row>
    <row r="126" spans="1:26">
      <c r="A126" s="17">
        <v>1</v>
      </c>
      <c r="B126" s="19" t="s">
        <v>147</v>
      </c>
      <c r="C126" s="19" t="s">
        <v>505</v>
      </c>
      <c r="D126" s="19" t="s">
        <v>142</v>
      </c>
      <c r="E126" s="19" t="s">
        <v>491</v>
      </c>
      <c r="F126" s="19" t="s">
        <v>465</v>
      </c>
      <c r="G126" s="19" t="s">
        <v>145</v>
      </c>
      <c r="H126" s="19" t="s">
        <v>365</v>
      </c>
      <c r="I126" s="19" t="s">
        <v>528</v>
      </c>
      <c r="J126" s="19" t="s">
        <v>485</v>
      </c>
      <c r="K126" s="19" t="s">
        <v>513</v>
      </c>
      <c r="L126" s="19" t="s">
        <v>501</v>
      </c>
      <c r="M126" s="21" t="s">
        <v>768</v>
      </c>
      <c r="N126" s="19" t="s">
        <v>465</v>
      </c>
      <c r="O126" s="19" t="s">
        <v>767</v>
      </c>
      <c r="P126" s="20" t="s">
        <v>766</v>
      </c>
      <c r="Q126" s="19" t="s">
        <v>700</v>
      </c>
      <c r="R126" s="19" t="s">
        <v>465</v>
      </c>
      <c r="S126" s="19" t="s">
        <v>490</v>
      </c>
      <c r="T126" s="19" t="s">
        <v>465</v>
      </c>
      <c r="U126" s="19" t="s">
        <v>765</v>
      </c>
      <c r="V126" s="19" t="s">
        <v>465</v>
      </c>
      <c r="W126" s="19" t="s">
        <v>465</v>
      </c>
      <c r="X126" s="19" t="s">
        <v>501</v>
      </c>
      <c r="Y126" s="19" t="s">
        <v>764</v>
      </c>
      <c r="Z126" s="19" t="s">
        <v>763</v>
      </c>
    </row>
    <row r="127" spans="1:26">
      <c r="A127" s="17">
        <v>0</v>
      </c>
      <c r="B127" s="17" t="s">
        <v>465</v>
      </c>
      <c r="C127" s="17"/>
      <c r="D127" s="17" t="s">
        <v>138</v>
      </c>
      <c r="E127" s="17" t="s">
        <v>545</v>
      </c>
      <c r="F127" s="17" t="s">
        <v>465</v>
      </c>
      <c r="G127" s="17" t="s">
        <v>298</v>
      </c>
      <c r="H127" s="17" t="s">
        <v>376</v>
      </c>
      <c r="I127" s="17"/>
      <c r="J127" s="17" t="s">
        <v>465</v>
      </c>
      <c r="K127" s="17" t="s">
        <v>465</v>
      </c>
      <c r="L127" s="17" t="s">
        <v>566</v>
      </c>
      <c r="M127" s="18" t="s">
        <v>762</v>
      </c>
      <c r="N127" s="17" t="s">
        <v>465</v>
      </c>
      <c r="O127" s="17" t="s">
        <v>700</v>
      </c>
      <c r="P127" s="22" t="s">
        <v>761</v>
      </c>
      <c r="Q127" s="17" t="s">
        <v>635</v>
      </c>
      <c r="R127" s="17" t="s">
        <v>465</v>
      </c>
      <c r="S127" s="17" t="s">
        <v>490</v>
      </c>
      <c r="T127" s="17" t="s">
        <v>465</v>
      </c>
      <c r="U127" s="17" t="s">
        <v>491</v>
      </c>
      <c r="V127" s="17" t="s">
        <v>465</v>
      </c>
      <c r="W127" s="17" t="s">
        <v>465</v>
      </c>
      <c r="X127" s="17" t="s">
        <v>566</v>
      </c>
      <c r="Y127" s="17" t="s">
        <v>566</v>
      </c>
      <c r="Z127" s="17" t="s">
        <v>566</v>
      </c>
    </row>
    <row r="128" spans="1:26">
      <c r="A128" s="17">
        <v>2</v>
      </c>
      <c r="B128" s="14" t="s">
        <v>465</v>
      </c>
      <c r="C128" s="14"/>
      <c r="D128" s="14" t="s">
        <v>465</v>
      </c>
      <c r="E128" s="14" t="s">
        <v>465</v>
      </c>
      <c r="F128" s="14" t="s">
        <v>465</v>
      </c>
      <c r="G128" s="14" t="s">
        <v>156</v>
      </c>
      <c r="H128" s="14" t="s">
        <v>377</v>
      </c>
      <c r="I128" s="14"/>
      <c r="J128" s="14" t="s">
        <v>485</v>
      </c>
      <c r="K128" s="14" t="s">
        <v>513</v>
      </c>
      <c r="L128" s="14" t="s">
        <v>532</v>
      </c>
      <c r="M128" s="15" t="s">
        <v>760</v>
      </c>
      <c r="N128" s="14" t="s">
        <v>759</v>
      </c>
      <c r="O128" s="14" t="s">
        <v>758</v>
      </c>
      <c r="P128" s="14" t="s">
        <v>757</v>
      </c>
      <c r="Q128" s="14" t="s">
        <v>756</v>
      </c>
      <c r="R128" s="14" t="s">
        <v>465</v>
      </c>
      <c r="S128" s="14" t="s">
        <v>33</v>
      </c>
      <c r="T128" s="14" t="s">
        <v>465</v>
      </c>
      <c r="U128" s="14" t="s">
        <v>81</v>
      </c>
      <c r="V128" s="14" t="s">
        <v>465</v>
      </c>
      <c r="W128" s="14" t="s">
        <v>532</v>
      </c>
      <c r="X128" s="14" t="s">
        <v>532</v>
      </c>
      <c r="Y128" s="14" t="s">
        <v>755</v>
      </c>
      <c r="Z128" s="14" t="s">
        <v>530</v>
      </c>
    </row>
    <row r="129" spans="1:26">
      <c r="A129" s="17">
        <v>1</v>
      </c>
      <c r="B129" s="19" t="s">
        <v>310</v>
      </c>
      <c r="C129" s="19" t="s">
        <v>505</v>
      </c>
      <c r="D129" s="19" t="s">
        <v>81</v>
      </c>
      <c r="E129" s="19" t="s">
        <v>529</v>
      </c>
      <c r="F129" s="19" t="s">
        <v>465</v>
      </c>
      <c r="G129" s="19" t="s">
        <v>99</v>
      </c>
      <c r="H129" s="19" t="s">
        <v>378</v>
      </c>
      <c r="I129" s="19" t="s">
        <v>528</v>
      </c>
      <c r="J129" s="19" t="s">
        <v>480</v>
      </c>
      <c r="K129" s="19" t="s">
        <v>513</v>
      </c>
      <c r="L129" s="19" t="s">
        <v>753</v>
      </c>
      <c r="M129" s="21" t="s">
        <v>754</v>
      </c>
      <c r="N129" s="19" t="s">
        <v>465</v>
      </c>
      <c r="O129" s="19" t="s">
        <v>574</v>
      </c>
      <c r="P129" s="20" t="s">
        <v>738</v>
      </c>
      <c r="Q129" s="19" t="s">
        <v>611</v>
      </c>
      <c r="R129" s="19" t="s">
        <v>81</v>
      </c>
      <c r="S129" s="19" t="s">
        <v>490</v>
      </c>
      <c r="T129" s="19" t="s">
        <v>465</v>
      </c>
      <c r="U129" s="19" t="s">
        <v>521</v>
      </c>
      <c r="V129" s="19" t="s">
        <v>465</v>
      </c>
      <c r="W129" s="19" t="s">
        <v>465</v>
      </c>
      <c r="X129" s="19" t="s">
        <v>753</v>
      </c>
      <c r="Y129" s="19" t="s">
        <v>617</v>
      </c>
      <c r="Z129" s="19" t="s">
        <v>622</v>
      </c>
    </row>
    <row r="130" spans="1:26">
      <c r="A130" s="17">
        <v>0</v>
      </c>
      <c r="B130" s="17" t="s">
        <v>465</v>
      </c>
      <c r="C130" s="17"/>
      <c r="D130" s="17" t="s">
        <v>81</v>
      </c>
      <c r="E130" s="17" t="s">
        <v>491</v>
      </c>
      <c r="F130" s="17" t="s">
        <v>465</v>
      </c>
      <c r="G130" s="17" t="s">
        <v>322</v>
      </c>
      <c r="H130" s="17" t="s">
        <v>380</v>
      </c>
      <c r="I130" s="17"/>
      <c r="J130" s="17" t="s">
        <v>465</v>
      </c>
      <c r="K130" s="17" t="s">
        <v>465</v>
      </c>
      <c r="L130" s="17" t="s">
        <v>752</v>
      </c>
      <c r="M130" s="18" t="s">
        <v>580</v>
      </c>
      <c r="N130" s="17" t="s">
        <v>465</v>
      </c>
      <c r="O130" s="17" t="s">
        <v>53</v>
      </c>
      <c r="P130" s="22" t="s">
        <v>604</v>
      </c>
      <c r="Q130" s="17" t="s">
        <v>611</v>
      </c>
      <c r="R130" s="17" t="s">
        <v>159</v>
      </c>
      <c r="S130" s="17" t="s">
        <v>490</v>
      </c>
      <c r="T130" s="17" t="s">
        <v>465</v>
      </c>
      <c r="U130" s="17" t="s">
        <v>159</v>
      </c>
      <c r="V130" s="17" t="s">
        <v>465</v>
      </c>
      <c r="W130" s="17" t="s">
        <v>465</v>
      </c>
      <c r="X130" s="17" t="s">
        <v>752</v>
      </c>
      <c r="Y130" s="17" t="s">
        <v>752</v>
      </c>
      <c r="Z130" s="17" t="s">
        <v>752</v>
      </c>
    </row>
    <row r="131" spans="1:26">
      <c r="A131" s="17">
        <v>2</v>
      </c>
      <c r="B131" s="14" t="s">
        <v>465</v>
      </c>
      <c r="C131" s="14"/>
      <c r="D131" s="14" t="s">
        <v>465</v>
      </c>
      <c r="E131" s="14" t="s">
        <v>465</v>
      </c>
      <c r="F131" s="14" t="s">
        <v>465</v>
      </c>
      <c r="G131" s="14" t="s">
        <v>145</v>
      </c>
      <c r="H131" s="14" t="s">
        <v>381</v>
      </c>
      <c r="I131" s="14"/>
      <c r="J131" s="14" t="s">
        <v>480</v>
      </c>
      <c r="K131" s="14" t="s">
        <v>513</v>
      </c>
      <c r="L131" s="14" t="s">
        <v>532</v>
      </c>
      <c r="M131" s="15" t="s">
        <v>683</v>
      </c>
      <c r="N131" s="14" t="s">
        <v>682</v>
      </c>
      <c r="O131" s="14" t="s">
        <v>751</v>
      </c>
      <c r="P131" s="14" t="s">
        <v>750</v>
      </c>
      <c r="Q131" s="14" t="s">
        <v>53</v>
      </c>
      <c r="R131" s="14" t="s">
        <v>554</v>
      </c>
      <c r="S131" s="14" t="s">
        <v>33</v>
      </c>
      <c r="T131" s="14" t="s">
        <v>465</v>
      </c>
      <c r="U131" s="14" t="s">
        <v>484</v>
      </c>
      <c r="V131" s="14" t="s">
        <v>465</v>
      </c>
      <c r="W131" s="14" t="s">
        <v>532</v>
      </c>
      <c r="X131" s="14" t="s">
        <v>532</v>
      </c>
      <c r="Y131" s="14" t="s">
        <v>680</v>
      </c>
      <c r="Z131" s="14" t="s">
        <v>530</v>
      </c>
    </row>
    <row r="132" spans="1:26">
      <c r="A132" s="17">
        <v>1</v>
      </c>
      <c r="B132" s="19" t="s">
        <v>101</v>
      </c>
      <c r="C132" s="19" t="s">
        <v>505</v>
      </c>
      <c r="D132" s="19" t="s">
        <v>41</v>
      </c>
      <c r="E132" s="19" t="s">
        <v>521</v>
      </c>
      <c r="F132" s="19" t="s">
        <v>465</v>
      </c>
      <c r="G132" s="19" t="s">
        <v>99</v>
      </c>
      <c r="H132" s="19" t="s">
        <v>373</v>
      </c>
      <c r="I132" s="19" t="s">
        <v>528</v>
      </c>
      <c r="J132" s="19" t="s">
        <v>717</v>
      </c>
      <c r="K132" s="19" t="s">
        <v>513</v>
      </c>
      <c r="L132" s="19" t="s">
        <v>719</v>
      </c>
      <c r="M132" s="21" t="s">
        <v>749</v>
      </c>
      <c r="N132" s="19" t="s">
        <v>465</v>
      </c>
      <c r="O132" s="19" t="s">
        <v>702</v>
      </c>
      <c r="P132" s="20" t="s">
        <v>748</v>
      </c>
      <c r="Q132" s="19" t="s">
        <v>498</v>
      </c>
      <c r="R132" s="19" t="s">
        <v>626</v>
      </c>
      <c r="S132" s="19" t="s">
        <v>490</v>
      </c>
      <c r="T132" s="19" t="s">
        <v>465</v>
      </c>
      <c r="U132" s="19" t="s">
        <v>521</v>
      </c>
      <c r="V132" s="19" t="s">
        <v>465</v>
      </c>
      <c r="W132" s="19" t="s">
        <v>465</v>
      </c>
      <c r="X132" s="19" t="s">
        <v>719</v>
      </c>
      <c r="Y132" s="19" t="s">
        <v>566</v>
      </c>
      <c r="Z132" s="19" t="s">
        <v>718</v>
      </c>
    </row>
    <row r="133" spans="1:26">
      <c r="A133" s="17">
        <v>0</v>
      </c>
      <c r="B133" s="17" t="s">
        <v>465</v>
      </c>
      <c r="C133" s="17"/>
      <c r="D133" s="17" t="s">
        <v>233</v>
      </c>
      <c r="E133" s="17" t="s">
        <v>491</v>
      </c>
      <c r="F133" s="17" t="s">
        <v>465</v>
      </c>
      <c r="G133" s="17" t="s">
        <v>382</v>
      </c>
      <c r="H133" s="17" t="s">
        <v>383</v>
      </c>
      <c r="I133" s="17"/>
      <c r="J133" s="17" t="s">
        <v>465</v>
      </c>
      <c r="K133" s="17" t="s">
        <v>465</v>
      </c>
      <c r="L133" s="17" t="s">
        <v>737</v>
      </c>
      <c r="M133" s="18" t="s">
        <v>661</v>
      </c>
      <c r="N133" s="17" t="s">
        <v>465</v>
      </c>
      <c r="O133" s="17" t="s">
        <v>312</v>
      </c>
      <c r="P133" s="22" t="s">
        <v>747</v>
      </c>
      <c r="Q133" s="17" t="s">
        <v>675</v>
      </c>
      <c r="R133" s="17" t="s">
        <v>465</v>
      </c>
      <c r="S133" s="17" t="s">
        <v>490</v>
      </c>
      <c r="T133" s="17" t="s">
        <v>465</v>
      </c>
      <c r="U133" s="17" t="s">
        <v>159</v>
      </c>
      <c r="V133" s="17" t="s">
        <v>465</v>
      </c>
      <c r="W133" s="17" t="s">
        <v>465</v>
      </c>
      <c r="X133" s="17" t="s">
        <v>737</v>
      </c>
      <c r="Y133" s="17" t="s">
        <v>737</v>
      </c>
      <c r="Z133" s="17" t="s">
        <v>737</v>
      </c>
    </row>
    <row r="134" spans="1:26">
      <c r="A134" s="17">
        <v>2</v>
      </c>
      <c r="B134" s="14" t="s">
        <v>465</v>
      </c>
      <c r="C134" s="14"/>
      <c r="D134" s="14" t="s">
        <v>465</v>
      </c>
      <c r="E134" s="14" t="s">
        <v>465</v>
      </c>
      <c r="F134" s="14" t="s">
        <v>465</v>
      </c>
      <c r="G134" s="14" t="s">
        <v>145</v>
      </c>
      <c r="H134" s="14" t="s">
        <v>384</v>
      </c>
      <c r="I134" s="14"/>
      <c r="J134" s="14" t="s">
        <v>717</v>
      </c>
      <c r="K134" s="14" t="s">
        <v>513</v>
      </c>
      <c r="L134" s="14" t="s">
        <v>733</v>
      </c>
      <c r="M134" s="15" t="s">
        <v>500</v>
      </c>
      <c r="N134" s="14" t="s">
        <v>689</v>
      </c>
      <c r="O134" s="14" t="s">
        <v>746</v>
      </c>
      <c r="P134" s="14" t="s">
        <v>535</v>
      </c>
      <c r="Q134" s="14" t="s">
        <v>675</v>
      </c>
      <c r="R134" s="14" t="s">
        <v>626</v>
      </c>
      <c r="S134" s="14" t="s">
        <v>33</v>
      </c>
      <c r="T134" s="14" t="s">
        <v>465</v>
      </c>
      <c r="U134" s="14" t="s">
        <v>484</v>
      </c>
      <c r="V134" s="14" t="s">
        <v>465</v>
      </c>
      <c r="W134" s="14" t="s">
        <v>733</v>
      </c>
      <c r="X134" s="14" t="s">
        <v>733</v>
      </c>
      <c r="Y134" s="14" t="s">
        <v>732</v>
      </c>
      <c r="Z134" s="14" t="s">
        <v>731</v>
      </c>
    </row>
    <row r="135" spans="1:26">
      <c r="A135" s="17">
        <v>1</v>
      </c>
      <c r="B135" s="19" t="s">
        <v>164</v>
      </c>
      <c r="C135" s="19" t="s">
        <v>505</v>
      </c>
      <c r="D135" s="19" t="s">
        <v>159</v>
      </c>
      <c r="E135" s="19" t="s">
        <v>491</v>
      </c>
      <c r="F135" s="19" t="s">
        <v>465</v>
      </c>
      <c r="G135" s="19" t="s">
        <v>163</v>
      </c>
      <c r="H135" s="19" t="s">
        <v>380</v>
      </c>
      <c r="I135" s="19" t="s">
        <v>503</v>
      </c>
      <c r="J135" s="19" t="s">
        <v>744</v>
      </c>
      <c r="K135" s="19" t="s">
        <v>465</v>
      </c>
      <c r="L135" s="19" t="s">
        <v>731</v>
      </c>
      <c r="M135" s="21" t="s">
        <v>743</v>
      </c>
      <c r="N135" s="19" t="s">
        <v>465</v>
      </c>
      <c r="O135" s="19" t="s">
        <v>742</v>
      </c>
      <c r="P135" s="20" t="s">
        <v>745</v>
      </c>
      <c r="Q135" s="19" t="s">
        <v>554</v>
      </c>
      <c r="R135" s="19" t="s">
        <v>465</v>
      </c>
      <c r="S135" s="19" t="s">
        <v>33</v>
      </c>
      <c r="T135" s="19" t="s">
        <v>465</v>
      </c>
      <c r="U135" s="19" t="s">
        <v>87</v>
      </c>
      <c r="V135" s="19" t="s">
        <v>465</v>
      </c>
      <c r="W135" s="19" t="s">
        <v>465</v>
      </c>
      <c r="X135" s="19" t="s">
        <v>731</v>
      </c>
      <c r="Y135" s="19" t="s">
        <v>740</v>
      </c>
      <c r="Z135" s="19" t="s">
        <v>731</v>
      </c>
    </row>
    <row r="136" spans="1:26">
      <c r="A136" s="17">
        <v>2</v>
      </c>
      <c r="B136" s="14" t="s">
        <v>465</v>
      </c>
      <c r="C136" s="14"/>
      <c r="D136" s="14" t="s">
        <v>465</v>
      </c>
      <c r="E136" s="14" t="s">
        <v>465</v>
      </c>
      <c r="F136" s="14" t="s">
        <v>465</v>
      </c>
      <c r="G136" s="14" t="s">
        <v>386</v>
      </c>
      <c r="H136" s="14" t="s">
        <v>381</v>
      </c>
      <c r="I136" s="14"/>
      <c r="J136" s="14" t="s">
        <v>744</v>
      </c>
      <c r="K136" s="14" t="s">
        <v>465</v>
      </c>
      <c r="L136" s="14" t="s">
        <v>731</v>
      </c>
      <c r="M136" s="15" t="s">
        <v>743</v>
      </c>
      <c r="N136" s="14" t="s">
        <v>660</v>
      </c>
      <c r="O136" s="14" t="s">
        <v>742</v>
      </c>
      <c r="P136" s="14" t="s">
        <v>741</v>
      </c>
      <c r="Q136" s="14" t="s">
        <v>554</v>
      </c>
      <c r="R136" s="14" t="s">
        <v>465</v>
      </c>
      <c r="S136" s="14" t="s">
        <v>33</v>
      </c>
      <c r="T136" s="14" t="s">
        <v>465</v>
      </c>
      <c r="U136" s="14" t="s">
        <v>87</v>
      </c>
      <c r="V136" s="14" t="s">
        <v>465</v>
      </c>
      <c r="W136" s="14" t="s">
        <v>731</v>
      </c>
      <c r="X136" s="14" t="s">
        <v>731</v>
      </c>
      <c r="Y136" s="14" t="s">
        <v>740</v>
      </c>
      <c r="Z136" s="14" t="s">
        <v>731</v>
      </c>
    </row>
    <row r="137" spans="1:26">
      <c r="A137" s="17">
        <v>1</v>
      </c>
      <c r="B137" s="19" t="s">
        <v>63</v>
      </c>
      <c r="C137" s="19" t="s">
        <v>505</v>
      </c>
      <c r="D137" s="19" t="s">
        <v>41</v>
      </c>
      <c r="E137" s="19" t="s">
        <v>570</v>
      </c>
      <c r="F137" s="19" t="s">
        <v>465</v>
      </c>
      <c r="G137" s="19" t="s">
        <v>61</v>
      </c>
      <c r="H137" s="19" t="s">
        <v>387</v>
      </c>
      <c r="I137" s="19" t="s">
        <v>528</v>
      </c>
      <c r="J137" s="19" t="s">
        <v>717</v>
      </c>
      <c r="K137" s="19" t="s">
        <v>513</v>
      </c>
      <c r="L137" s="19" t="s">
        <v>719</v>
      </c>
      <c r="M137" s="21" t="s">
        <v>569</v>
      </c>
      <c r="N137" s="19" t="s">
        <v>465</v>
      </c>
      <c r="O137" s="19" t="s">
        <v>568</v>
      </c>
      <c r="P137" s="20" t="s">
        <v>567</v>
      </c>
      <c r="Q137" s="19" t="s">
        <v>554</v>
      </c>
      <c r="R137" s="19" t="s">
        <v>41</v>
      </c>
      <c r="S137" s="19" t="s">
        <v>490</v>
      </c>
      <c r="T137" s="19" t="s">
        <v>465</v>
      </c>
      <c r="U137" s="19" t="s">
        <v>521</v>
      </c>
      <c r="V137" s="19" t="s">
        <v>465</v>
      </c>
      <c r="W137" s="19" t="s">
        <v>465</v>
      </c>
      <c r="X137" s="19" t="s">
        <v>719</v>
      </c>
      <c r="Y137" s="19" t="s">
        <v>566</v>
      </c>
      <c r="Z137" s="19" t="s">
        <v>718</v>
      </c>
    </row>
    <row r="138" spans="1:26">
      <c r="A138" s="17">
        <v>0</v>
      </c>
      <c r="B138" s="17" t="s">
        <v>465</v>
      </c>
      <c r="C138" s="17"/>
      <c r="D138" s="17" t="s">
        <v>233</v>
      </c>
      <c r="E138" s="17" t="s">
        <v>529</v>
      </c>
      <c r="F138" s="17" t="s">
        <v>465</v>
      </c>
      <c r="G138" s="17" t="s">
        <v>390</v>
      </c>
      <c r="H138" s="17" t="s">
        <v>384</v>
      </c>
      <c r="I138" s="17"/>
      <c r="J138" s="17" t="s">
        <v>465</v>
      </c>
      <c r="K138" s="17" t="s">
        <v>465</v>
      </c>
      <c r="L138" s="17" t="s">
        <v>737</v>
      </c>
      <c r="M138" s="18" t="s">
        <v>739</v>
      </c>
      <c r="N138" s="17" t="s">
        <v>465</v>
      </c>
      <c r="O138" s="17" t="s">
        <v>574</v>
      </c>
      <c r="P138" s="22" t="s">
        <v>738</v>
      </c>
      <c r="Q138" s="17" t="s">
        <v>577</v>
      </c>
      <c r="R138" s="17" t="s">
        <v>465</v>
      </c>
      <c r="S138" s="17" t="s">
        <v>490</v>
      </c>
      <c r="T138" s="17" t="s">
        <v>465</v>
      </c>
      <c r="U138" s="17" t="s">
        <v>159</v>
      </c>
      <c r="V138" s="17" t="s">
        <v>465</v>
      </c>
      <c r="W138" s="17" t="s">
        <v>465</v>
      </c>
      <c r="X138" s="17" t="s">
        <v>737</v>
      </c>
      <c r="Y138" s="17" t="s">
        <v>737</v>
      </c>
      <c r="Z138" s="17" t="s">
        <v>737</v>
      </c>
    </row>
    <row r="139" spans="1:26">
      <c r="A139" s="17">
        <v>2</v>
      </c>
      <c r="B139" s="14" t="s">
        <v>465</v>
      </c>
      <c r="C139" s="14"/>
      <c r="D139" s="14" t="s">
        <v>465</v>
      </c>
      <c r="E139" s="14" t="s">
        <v>465</v>
      </c>
      <c r="F139" s="14" t="s">
        <v>465</v>
      </c>
      <c r="G139" s="14" t="s">
        <v>389</v>
      </c>
      <c r="H139" s="14" t="s">
        <v>391</v>
      </c>
      <c r="I139" s="14"/>
      <c r="J139" s="14" t="s">
        <v>717</v>
      </c>
      <c r="K139" s="14" t="s">
        <v>513</v>
      </c>
      <c r="L139" s="14" t="s">
        <v>733</v>
      </c>
      <c r="M139" s="15" t="s">
        <v>736</v>
      </c>
      <c r="N139" s="14" t="s">
        <v>518</v>
      </c>
      <c r="O139" s="14" t="s">
        <v>735</v>
      </c>
      <c r="P139" s="14" t="s">
        <v>535</v>
      </c>
      <c r="Q139" s="14" t="s">
        <v>734</v>
      </c>
      <c r="R139" s="14" t="s">
        <v>41</v>
      </c>
      <c r="S139" s="14" t="s">
        <v>33</v>
      </c>
      <c r="T139" s="14" t="s">
        <v>465</v>
      </c>
      <c r="U139" s="14" t="s">
        <v>484</v>
      </c>
      <c r="V139" s="14" t="s">
        <v>465</v>
      </c>
      <c r="W139" s="14" t="s">
        <v>733</v>
      </c>
      <c r="X139" s="14" t="s">
        <v>733</v>
      </c>
      <c r="Y139" s="14" t="s">
        <v>732</v>
      </c>
      <c r="Z139" s="14" t="s">
        <v>731</v>
      </c>
    </row>
    <row r="140" spans="1:26">
      <c r="A140" s="17">
        <v>1</v>
      </c>
      <c r="B140" s="19" t="s">
        <v>207</v>
      </c>
      <c r="C140" s="19" t="s">
        <v>505</v>
      </c>
      <c r="D140" s="19" t="s">
        <v>105</v>
      </c>
      <c r="E140" s="19" t="s">
        <v>491</v>
      </c>
      <c r="F140" s="19" t="s">
        <v>465</v>
      </c>
      <c r="G140" s="19" t="s">
        <v>206</v>
      </c>
      <c r="H140" s="19" t="s">
        <v>275</v>
      </c>
      <c r="I140" s="19" t="s">
        <v>528</v>
      </c>
      <c r="J140" s="19" t="s">
        <v>465</v>
      </c>
      <c r="K140" s="19" t="s">
        <v>465</v>
      </c>
      <c r="L140" s="19" t="s">
        <v>648</v>
      </c>
      <c r="M140" s="21" t="s">
        <v>730</v>
      </c>
      <c r="N140" s="19" t="s">
        <v>465</v>
      </c>
      <c r="O140" s="19" t="s">
        <v>498</v>
      </c>
      <c r="P140" s="19" t="s">
        <v>465</v>
      </c>
      <c r="Q140" s="19" t="s">
        <v>611</v>
      </c>
      <c r="R140" s="19" t="s">
        <v>465</v>
      </c>
      <c r="S140" s="19" t="s">
        <v>490</v>
      </c>
      <c r="T140" s="19" t="s">
        <v>465</v>
      </c>
      <c r="U140" s="19" t="s">
        <v>87</v>
      </c>
      <c r="V140" s="19" t="s">
        <v>465</v>
      </c>
      <c r="W140" s="19" t="s">
        <v>465</v>
      </c>
      <c r="X140" s="19" t="s">
        <v>648</v>
      </c>
      <c r="Y140" s="19" t="s">
        <v>648</v>
      </c>
      <c r="Z140" s="19" t="s">
        <v>648</v>
      </c>
    </row>
    <row r="141" spans="1:26">
      <c r="A141" s="17">
        <v>0</v>
      </c>
      <c r="B141" s="17" t="s">
        <v>465</v>
      </c>
      <c r="C141" s="17"/>
      <c r="D141" s="17" t="s">
        <v>233</v>
      </c>
      <c r="E141" s="17" t="s">
        <v>570</v>
      </c>
      <c r="F141" s="17" t="s">
        <v>465</v>
      </c>
      <c r="G141" s="17" t="s">
        <v>393</v>
      </c>
      <c r="H141" s="17" t="s">
        <v>358</v>
      </c>
      <c r="I141" s="17"/>
      <c r="J141" s="17" t="s">
        <v>539</v>
      </c>
      <c r="K141" s="17" t="s">
        <v>513</v>
      </c>
      <c r="L141" s="17" t="s">
        <v>727</v>
      </c>
      <c r="M141" s="18" t="s">
        <v>729</v>
      </c>
      <c r="N141" s="17" t="s">
        <v>465</v>
      </c>
      <c r="O141" s="17" t="s">
        <v>233</v>
      </c>
      <c r="P141" s="22" t="s">
        <v>728</v>
      </c>
      <c r="Q141" s="17" t="s">
        <v>233</v>
      </c>
      <c r="R141" s="17" t="s">
        <v>465</v>
      </c>
      <c r="S141" s="17" t="s">
        <v>465</v>
      </c>
      <c r="T141" s="17" t="s">
        <v>465</v>
      </c>
      <c r="U141" s="17" t="s">
        <v>626</v>
      </c>
      <c r="V141" s="17" t="s">
        <v>465</v>
      </c>
      <c r="W141" s="17" t="s">
        <v>465</v>
      </c>
      <c r="X141" s="17" t="s">
        <v>727</v>
      </c>
      <c r="Y141" s="17" t="s">
        <v>726</v>
      </c>
      <c r="Z141" s="17" t="s">
        <v>725</v>
      </c>
    </row>
    <row r="142" spans="1:26">
      <c r="A142" s="17">
        <v>0</v>
      </c>
      <c r="B142" s="17" t="s">
        <v>465</v>
      </c>
      <c r="C142" s="17"/>
      <c r="D142" s="17" t="s">
        <v>138</v>
      </c>
      <c r="E142" s="17" t="s">
        <v>529</v>
      </c>
      <c r="F142" s="17" t="s">
        <v>465</v>
      </c>
      <c r="G142" s="17" t="s">
        <v>394</v>
      </c>
      <c r="H142" s="17" t="s">
        <v>395</v>
      </c>
      <c r="I142" s="17"/>
      <c r="J142" s="17" t="s">
        <v>465</v>
      </c>
      <c r="K142" s="17" t="s">
        <v>465</v>
      </c>
      <c r="L142" s="17" t="s">
        <v>616</v>
      </c>
      <c r="M142" s="18" t="s">
        <v>677</v>
      </c>
      <c r="N142" s="17" t="s">
        <v>465</v>
      </c>
      <c r="O142" s="17" t="s">
        <v>637</v>
      </c>
      <c r="P142" s="22" t="s">
        <v>676</v>
      </c>
      <c r="Q142" s="17" t="s">
        <v>675</v>
      </c>
      <c r="R142" s="17" t="s">
        <v>465</v>
      </c>
      <c r="S142" s="17" t="s">
        <v>490</v>
      </c>
      <c r="T142" s="17" t="s">
        <v>465</v>
      </c>
      <c r="U142" s="17" t="s">
        <v>159</v>
      </c>
      <c r="V142" s="17" t="s">
        <v>465</v>
      </c>
      <c r="W142" s="17" t="s">
        <v>465</v>
      </c>
      <c r="X142" s="17" t="s">
        <v>616</v>
      </c>
      <c r="Y142" s="17" t="s">
        <v>616</v>
      </c>
      <c r="Z142" s="17" t="s">
        <v>616</v>
      </c>
    </row>
    <row r="143" spans="1:26">
      <c r="A143" s="17">
        <v>2</v>
      </c>
      <c r="B143" s="14" t="s">
        <v>465</v>
      </c>
      <c r="C143" s="14"/>
      <c r="D143" s="14" t="s">
        <v>465</v>
      </c>
      <c r="E143" s="14" t="s">
        <v>465</v>
      </c>
      <c r="F143" s="14" t="s">
        <v>465</v>
      </c>
      <c r="G143" s="14" t="s">
        <v>392</v>
      </c>
      <c r="H143" s="14" t="s">
        <v>396</v>
      </c>
      <c r="I143" s="14"/>
      <c r="J143" s="14" t="s">
        <v>539</v>
      </c>
      <c r="K143" s="14" t="s">
        <v>513</v>
      </c>
      <c r="L143" s="14" t="s">
        <v>530</v>
      </c>
      <c r="M143" s="15" t="s">
        <v>724</v>
      </c>
      <c r="N143" s="14" t="s">
        <v>715</v>
      </c>
      <c r="O143" s="14" t="s">
        <v>494</v>
      </c>
      <c r="P143" s="14" t="s">
        <v>723</v>
      </c>
      <c r="Q143" s="14" t="s">
        <v>722</v>
      </c>
      <c r="R143" s="14" t="s">
        <v>465</v>
      </c>
      <c r="S143" s="14" t="s">
        <v>33</v>
      </c>
      <c r="T143" s="14" t="s">
        <v>465</v>
      </c>
      <c r="U143" s="14" t="s">
        <v>693</v>
      </c>
      <c r="V143" s="14" t="s">
        <v>465</v>
      </c>
      <c r="W143" s="14" t="s">
        <v>530</v>
      </c>
      <c r="X143" s="14" t="s">
        <v>530</v>
      </c>
      <c r="Y143" s="14" t="s">
        <v>721</v>
      </c>
      <c r="Z143" s="14" t="s">
        <v>720</v>
      </c>
    </row>
    <row r="144" spans="1:26">
      <c r="A144" s="17">
        <v>1</v>
      </c>
      <c r="B144" s="19" t="s">
        <v>135</v>
      </c>
      <c r="C144" s="19" t="s">
        <v>505</v>
      </c>
      <c r="D144" s="19" t="s">
        <v>87</v>
      </c>
      <c r="E144" s="19" t="s">
        <v>521</v>
      </c>
      <c r="F144" s="19" t="s">
        <v>465</v>
      </c>
      <c r="G144" s="19" t="s">
        <v>133</v>
      </c>
      <c r="H144" s="19" t="s">
        <v>323</v>
      </c>
      <c r="I144" s="19" t="s">
        <v>528</v>
      </c>
      <c r="J144" s="19" t="s">
        <v>717</v>
      </c>
      <c r="K144" s="19" t="s">
        <v>513</v>
      </c>
      <c r="L144" s="19" t="s">
        <v>719</v>
      </c>
      <c r="M144" s="21" t="s">
        <v>661</v>
      </c>
      <c r="N144" s="19" t="s">
        <v>465</v>
      </c>
      <c r="O144" s="19" t="s">
        <v>660</v>
      </c>
      <c r="P144" s="20" t="s">
        <v>659</v>
      </c>
      <c r="Q144" s="19" t="s">
        <v>138</v>
      </c>
      <c r="R144" s="19" t="s">
        <v>41</v>
      </c>
      <c r="S144" s="19" t="s">
        <v>490</v>
      </c>
      <c r="T144" s="19" t="s">
        <v>465</v>
      </c>
      <c r="U144" s="19" t="s">
        <v>521</v>
      </c>
      <c r="V144" s="19" t="s">
        <v>465</v>
      </c>
      <c r="W144" s="19" t="s">
        <v>465</v>
      </c>
      <c r="X144" s="19" t="s">
        <v>719</v>
      </c>
      <c r="Y144" s="19" t="s">
        <v>566</v>
      </c>
      <c r="Z144" s="19" t="s">
        <v>718</v>
      </c>
    </row>
    <row r="145" spans="1:26">
      <c r="A145" s="17">
        <v>0</v>
      </c>
      <c r="B145" s="17" t="s">
        <v>465</v>
      </c>
      <c r="C145" s="17"/>
      <c r="D145" s="17" t="s">
        <v>138</v>
      </c>
      <c r="E145" s="17" t="s">
        <v>521</v>
      </c>
      <c r="F145" s="17" t="s">
        <v>465</v>
      </c>
      <c r="G145" s="17" t="s">
        <v>398</v>
      </c>
      <c r="H145" s="17" t="s">
        <v>396</v>
      </c>
      <c r="I145" s="17"/>
      <c r="J145" s="17" t="s">
        <v>465</v>
      </c>
      <c r="K145" s="17" t="s">
        <v>465</v>
      </c>
      <c r="L145" s="17" t="s">
        <v>616</v>
      </c>
      <c r="M145" s="18" t="s">
        <v>677</v>
      </c>
      <c r="N145" s="17" t="s">
        <v>465</v>
      </c>
      <c r="O145" s="17" t="s">
        <v>637</v>
      </c>
      <c r="P145" s="22" t="s">
        <v>676</v>
      </c>
      <c r="Q145" s="17" t="s">
        <v>675</v>
      </c>
      <c r="R145" s="17" t="s">
        <v>465</v>
      </c>
      <c r="S145" s="17" t="s">
        <v>490</v>
      </c>
      <c r="T145" s="17" t="s">
        <v>465</v>
      </c>
      <c r="U145" s="17" t="s">
        <v>159</v>
      </c>
      <c r="V145" s="17" t="s">
        <v>465</v>
      </c>
      <c r="W145" s="17" t="s">
        <v>465</v>
      </c>
      <c r="X145" s="17" t="s">
        <v>616</v>
      </c>
      <c r="Y145" s="17" t="s">
        <v>616</v>
      </c>
      <c r="Z145" s="17" t="s">
        <v>616</v>
      </c>
    </row>
    <row r="146" spans="1:26">
      <c r="A146" s="17">
        <v>2</v>
      </c>
      <c r="B146" s="14" t="s">
        <v>465</v>
      </c>
      <c r="C146" s="14"/>
      <c r="D146" s="14" t="s">
        <v>465</v>
      </c>
      <c r="E146" s="14" t="s">
        <v>465</v>
      </c>
      <c r="F146" s="14" t="s">
        <v>465</v>
      </c>
      <c r="G146" s="14" t="s">
        <v>64</v>
      </c>
      <c r="H146" s="14" t="s">
        <v>399</v>
      </c>
      <c r="I146" s="14"/>
      <c r="J146" s="14" t="s">
        <v>717</v>
      </c>
      <c r="K146" s="14" t="s">
        <v>513</v>
      </c>
      <c r="L146" s="14" t="s">
        <v>713</v>
      </c>
      <c r="M146" s="15" t="s">
        <v>716</v>
      </c>
      <c r="N146" s="14" t="s">
        <v>715</v>
      </c>
      <c r="O146" s="14" t="s">
        <v>702</v>
      </c>
      <c r="P146" s="14" t="s">
        <v>714</v>
      </c>
      <c r="Q146" s="14" t="s">
        <v>312</v>
      </c>
      <c r="R146" s="14" t="s">
        <v>41</v>
      </c>
      <c r="S146" s="14" t="s">
        <v>33</v>
      </c>
      <c r="T146" s="14" t="s">
        <v>465</v>
      </c>
      <c r="U146" s="14" t="s">
        <v>484</v>
      </c>
      <c r="V146" s="14" t="s">
        <v>465</v>
      </c>
      <c r="W146" s="14" t="s">
        <v>713</v>
      </c>
      <c r="X146" s="14" t="s">
        <v>713</v>
      </c>
      <c r="Y146" s="14" t="s">
        <v>479</v>
      </c>
      <c r="Z146" s="14" t="s">
        <v>531</v>
      </c>
    </row>
    <row r="147" spans="1:26">
      <c r="A147" s="17">
        <v>1</v>
      </c>
      <c r="B147" s="19" t="s">
        <v>238</v>
      </c>
      <c r="C147" s="19" t="s">
        <v>505</v>
      </c>
      <c r="D147" s="19" t="s">
        <v>87</v>
      </c>
      <c r="E147" s="19" t="s">
        <v>529</v>
      </c>
      <c r="F147" s="19" t="s">
        <v>465</v>
      </c>
      <c r="G147" s="19" t="s">
        <v>231</v>
      </c>
      <c r="H147" s="19" t="s">
        <v>401</v>
      </c>
      <c r="I147" s="19" t="s">
        <v>528</v>
      </c>
      <c r="J147" s="19" t="s">
        <v>520</v>
      </c>
      <c r="K147" s="19" t="s">
        <v>513</v>
      </c>
      <c r="L147" s="19" t="s">
        <v>712</v>
      </c>
      <c r="M147" s="21" t="s">
        <v>661</v>
      </c>
      <c r="N147" s="19" t="s">
        <v>465</v>
      </c>
      <c r="O147" s="19" t="s">
        <v>660</v>
      </c>
      <c r="P147" s="20" t="s">
        <v>659</v>
      </c>
      <c r="Q147" s="19" t="s">
        <v>138</v>
      </c>
      <c r="R147" s="19" t="s">
        <v>41</v>
      </c>
      <c r="S147" s="19" t="s">
        <v>490</v>
      </c>
      <c r="T147" s="19" t="s">
        <v>465</v>
      </c>
      <c r="U147" s="19" t="s">
        <v>521</v>
      </c>
      <c r="V147" s="19" t="s">
        <v>465</v>
      </c>
      <c r="W147" s="19" t="s">
        <v>465</v>
      </c>
      <c r="X147" s="19" t="s">
        <v>712</v>
      </c>
      <c r="Y147" s="19" t="s">
        <v>566</v>
      </c>
      <c r="Z147" s="19" t="s">
        <v>711</v>
      </c>
    </row>
    <row r="148" spans="1:26">
      <c r="A148" s="17">
        <v>0</v>
      </c>
      <c r="B148" s="17" t="s">
        <v>465</v>
      </c>
      <c r="C148" s="17"/>
      <c r="D148" s="17" t="s">
        <v>233</v>
      </c>
      <c r="E148" s="17" t="s">
        <v>521</v>
      </c>
      <c r="F148" s="17" t="s">
        <v>465</v>
      </c>
      <c r="G148" s="17" t="s">
        <v>333</v>
      </c>
      <c r="H148" s="17" t="s">
        <v>403</v>
      </c>
      <c r="I148" s="17"/>
      <c r="J148" s="17" t="s">
        <v>465</v>
      </c>
      <c r="K148" s="17" t="s">
        <v>465</v>
      </c>
      <c r="L148" s="17" t="s">
        <v>708</v>
      </c>
      <c r="M148" s="18" t="s">
        <v>710</v>
      </c>
      <c r="N148" s="17" t="s">
        <v>465</v>
      </c>
      <c r="O148" s="17" t="s">
        <v>138</v>
      </c>
      <c r="P148" s="22" t="s">
        <v>709</v>
      </c>
      <c r="Q148" s="17" t="s">
        <v>545</v>
      </c>
      <c r="R148" s="17" t="s">
        <v>465</v>
      </c>
      <c r="S148" s="17" t="s">
        <v>465</v>
      </c>
      <c r="T148" s="17" t="s">
        <v>465</v>
      </c>
      <c r="U148" s="17" t="s">
        <v>494</v>
      </c>
      <c r="V148" s="17" t="s">
        <v>465</v>
      </c>
      <c r="W148" s="17" t="s">
        <v>465</v>
      </c>
      <c r="X148" s="17" t="s">
        <v>708</v>
      </c>
      <c r="Y148" s="17" t="s">
        <v>708</v>
      </c>
      <c r="Z148" s="17" t="s">
        <v>708</v>
      </c>
    </row>
    <row r="149" spans="1:26">
      <c r="A149" s="17">
        <v>0</v>
      </c>
      <c r="B149" s="17" t="s">
        <v>465</v>
      </c>
      <c r="C149" s="17"/>
      <c r="D149" s="17" t="s">
        <v>138</v>
      </c>
      <c r="E149" s="17" t="s">
        <v>491</v>
      </c>
      <c r="F149" s="17" t="s">
        <v>465</v>
      </c>
      <c r="G149" s="17" t="s">
        <v>404</v>
      </c>
      <c r="H149" s="17" t="s">
        <v>405</v>
      </c>
      <c r="I149" s="17"/>
      <c r="J149" s="17" t="s">
        <v>465</v>
      </c>
      <c r="K149" s="17" t="s">
        <v>465</v>
      </c>
      <c r="L149" s="17" t="s">
        <v>705</v>
      </c>
      <c r="M149" s="18" t="s">
        <v>707</v>
      </c>
      <c r="N149" s="17" t="s">
        <v>465</v>
      </c>
      <c r="O149" s="17" t="s">
        <v>33</v>
      </c>
      <c r="P149" s="22" t="s">
        <v>706</v>
      </c>
      <c r="Q149" s="17" t="s">
        <v>41</v>
      </c>
      <c r="R149" s="17" t="s">
        <v>465</v>
      </c>
      <c r="S149" s="17" t="s">
        <v>490</v>
      </c>
      <c r="T149" s="17" t="s">
        <v>465</v>
      </c>
      <c r="U149" s="17" t="s">
        <v>87</v>
      </c>
      <c r="V149" s="17" t="s">
        <v>465</v>
      </c>
      <c r="W149" s="17" t="s">
        <v>465</v>
      </c>
      <c r="X149" s="17" t="s">
        <v>705</v>
      </c>
      <c r="Y149" s="17" t="s">
        <v>705</v>
      </c>
      <c r="Z149" s="17" t="s">
        <v>705</v>
      </c>
    </row>
    <row r="150" spans="1:26">
      <c r="A150" s="17">
        <v>2</v>
      </c>
      <c r="B150" s="14" t="s">
        <v>465</v>
      </c>
      <c r="C150" s="14"/>
      <c r="D150" s="14" t="s">
        <v>465</v>
      </c>
      <c r="E150" s="14" t="s">
        <v>465</v>
      </c>
      <c r="F150" s="14" t="s">
        <v>465</v>
      </c>
      <c r="G150" s="14" t="s">
        <v>230</v>
      </c>
      <c r="H150" s="14" t="s">
        <v>406</v>
      </c>
      <c r="I150" s="14"/>
      <c r="J150" s="14" t="s">
        <v>520</v>
      </c>
      <c r="K150" s="14" t="s">
        <v>513</v>
      </c>
      <c r="L150" s="14" t="s">
        <v>699</v>
      </c>
      <c r="M150" s="15" t="s">
        <v>704</v>
      </c>
      <c r="N150" s="14" t="s">
        <v>703</v>
      </c>
      <c r="O150" s="14" t="s">
        <v>702</v>
      </c>
      <c r="P150" s="14" t="s">
        <v>701</v>
      </c>
      <c r="Q150" s="14" t="s">
        <v>700</v>
      </c>
      <c r="R150" s="14" t="s">
        <v>41</v>
      </c>
      <c r="S150" s="14" t="s">
        <v>33</v>
      </c>
      <c r="T150" s="14" t="s">
        <v>465</v>
      </c>
      <c r="U150" s="14" t="s">
        <v>628</v>
      </c>
      <c r="V150" s="14" t="s">
        <v>465</v>
      </c>
      <c r="W150" s="14" t="s">
        <v>699</v>
      </c>
      <c r="X150" s="14" t="s">
        <v>699</v>
      </c>
      <c r="Y150" s="14" t="s">
        <v>679</v>
      </c>
      <c r="Z150" s="14" t="s">
        <v>698</v>
      </c>
    </row>
    <row r="151" spans="1:26">
      <c r="A151" s="17">
        <v>1</v>
      </c>
      <c r="B151" s="19" t="s">
        <v>178</v>
      </c>
      <c r="C151" s="19" t="s">
        <v>505</v>
      </c>
      <c r="D151" s="19" t="s">
        <v>233</v>
      </c>
      <c r="E151" s="19" t="s">
        <v>491</v>
      </c>
      <c r="F151" s="19" t="s">
        <v>465</v>
      </c>
      <c r="G151" s="19" t="s">
        <v>176</v>
      </c>
      <c r="H151" s="19" t="s">
        <v>382</v>
      </c>
      <c r="I151" s="19" t="s">
        <v>528</v>
      </c>
      <c r="J151" s="19" t="s">
        <v>514</v>
      </c>
      <c r="K151" s="19" t="s">
        <v>513</v>
      </c>
      <c r="L151" s="19" t="s">
        <v>696</v>
      </c>
      <c r="M151" s="21" t="s">
        <v>697</v>
      </c>
      <c r="N151" s="19" t="s">
        <v>465</v>
      </c>
      <c r="O151" s="19" t="s">
        <v>632</v>
      </c>
      <c r="P151" s="20" t="s">
        <v>631</v>
      </c>
      <c r="Q151" s="19" t="s">
        <v>628</v>
      </c>
      <c r="R151" s="19" t="s">
        <v>465</v>
      </c>
      <c r="S151" s="19" t="s">
        <v>490</v>
      </c>
      <c r="T151" s="19" t="s">
        <v>465</v>
      </c>
      <c r="U151" s="19" t="s">
        <v>521</v>
      </c>
      <c r="V151" s="19" t="s">
        <v>465</v>
      </c>
      <c r="W151" s="19" t="s">
        <v>465</v>
      </c>
      <c r="X151" s="19" t="s">
        <v>696</v>
      </c>
      <c r="Y151" s="19" t="s">
        <v>668</v>
      </c>
      <c r="Z151" s="19" t="s">
        <v>695</v>
      </c>
    </row>
    <row r="152" spans="1:26">
      <c r="A152" s="17">
        <v>0</v>
      </c>
      <c r="B152" s="17" t="s">
        <v>465</v>
      </c>
      <c r="C152" s="17"/>
      <c r="D152" s="17" t="s">
        <v>41</v>
      </c>
      <c r="E152" s="17" t="s">
        <v>529</v>
      </c>
      <c r="F152" s="17" t="s">
        <v>465</v>
      </c>
      <c r="G152" s="17" t="s">
        <v>339</v>
      </c>
      <c r="H152" s="17" t="s">
        <v>383</v>
      </c>
      <c r="I152" s="17"/>
      <c r="J152" s="17" t="s">
        <v>465</v>
      </c>
      <c r="K152" s="17" t="s">
        <v>465</v>
      </c>
      <c r="L152" s="17" t="s">
        <v>691</v>
      </c>
      <c r="M152" s="18" t="s">
        <v>694</v>
      </c>
      <c r="N152" s="17" t="s">
        <v>465</v>
      </c>
      <c r="O152" s="17" t="s">
        <v>693</v>
      </c>
      <c r="P152" s="22" t="s">
        <v>692</v>
      </c>
      <c r="Q152" s="17" t="s">
        <v>498</v>
      </c>
      <c r="R152" s="17" t="s">
        <v>545</v>
      </c>
      <c r="S152" s="17" t="s">
        <v>490</v>
      </c>
      <c r="T152" s="17" t="s">
        <v>465</v>
      </c>
      <c r="U152" s="17" t="s">
        <v>159</v>
      </c>
      <c r="V152" s="17" t="s">
        <v>465</v>
      </c>
      <c r="W152" s="17" t="s">
        <v>465</v>
      </c>
      <c r="X152" s="17" t="s">
        <v>691</v>
      </c>
      <c r="Y152" s="17" t="s">
        <v>691</v>
      </c>
      <c r="Z152" s="17" t="s">
        <v>691</v>
      </c>
    </row>
    <row r="153" spans="1:26">
      <c r="A153" s="17">
        <v>2</v>
      </c>
      <c r="B153" s="14" t="s">
        <v>465</v>
      </c>
      <c r="C153" s="14"/>
      <c r="D153" s="14" t="s">
        <v>465</v>
      </c>
      <c r="E153" s="14" t="s">
        <v>465</v>
      </c>
      <c r="F153" s="14" t="s">
        <v>465</v>
      </c>
      <c r="G153" s="14" t="s">
        <v>408</v>
      </c>
      <c r="H153" s="14" t="s">
        <v>384</v>
      </c>
      <c r="I153" s="14"/>
      <c r="J153" s="14" t="s">
        <v>514</v>
      </c>
      <c r="K153" s="14" t="s">
        <v>513</v>
      </c>
      <c r="L153" s="14" t="s">
        <v>678</v>
      </c>
      <c r="M153" s="15" t="s">
        <v>690</v>
      </c>
      <c r="N153" s="14" t="s">
        <v>689</v>
      </c>
      <c r="O153" s="14" t="s">
        <v>673</v>
      </c>
      <c r="P153" s="14" t="s">
        <v>688</v>
      </c>
      <c r="Q153" s="14" t="s">
        <v>628</v>
      </c>
      <c r="R153" s="14" t="s">
        <v>545</v>
      </c>
      <c r="S153" s="14" t="s">
        <v>33</v>
      </c>
      <c r="T153" s="14" t="s">
        <v>465</v>
      </c>
      <c r="U153" s="14" t="s">
        <v>484</v>
      </c>
      <c r="V153" s="14" t="s">
        <v>465</v>
      </c>
      <c r="W153" s="14" t="s">
        <v>678</v>
      </c>
      <c r="X153" s="14" t="s">
        <v>678</v>
      </c>
      <c r="Y153" s="14" t="s">
        <v>687</v>
      </c>
      <c r="Z153" s="14" t="s">
        <v>686</v>
      </c>
    </row>
    <row r="154" spans="1:26">
      <c r="A154" s="17">
        <v>1</v>
      </c>
      <c r="B154" s="19" t="s">
        <v>202</v>
      </c>
      <c r="C154" s="19" t="s">
        <v>505</v>
      </c>
      <c r="D154" s="19" t="s">
        <v>138</v>
      </c>
      <c r="E154" s="19" t="s">
        <v>521</v>
      </c>
      <c r="F154" s="19" t="s">
        <v>465</v>
      </c>
      <c r="G154" s="19" t="s">
        <v>200</v>
      </c>
      <c r="H154" s="19" t="s">
        <v>398</v>
      </c>
      <c r="I154" s="19" t="s">
        <v>528</v>
      </c>
      <c r="J154" s="19" t="s">
        <v>480</v>
      </c>
      <c r="K154" s="19" t="s">
        <v>513</v>
      </c>
      <c r="L154" s="19" t="s">
        <v>587</v>
      </c>
      <c r="M154" s="21" t="s">
        <v>547</v>
      </c>
      <c r="N154" s="19" t="s">
        <v>465</v>
      </c>
      <c r="O154" s="19" t="s">
        <v>637</v>
      </c>
      <c r="P154" s="20" t="s">
        <v>636</v>
      </c>
      <c r="Q154" s="19" t="s">
        <v>481</v>
      </c>
      <c r="R154" s="19" t="s">
        <v>465</v>
      </c>
      <c r="S154" s="19" t="s">
        <v>490</v>
      </c>
      <c r="T154" s="19" t="s">
        <v>465</v>
      </c>
      <c r="U154" s="19" t="s">
        <v>521</v>
      </c>
      <c r="V154" s="19" t="s">
        <v>465</v>
      </c>
      <c r="W154" s="19" t="s">
        <v>465</v>
      </c>
      <c r="X154" s="19" t="s">
        <v>587</v>
      </c>
      <c r="Y154" s="19" t="s">
        <v>566</v>
      </c>
      <c r="Z154" s="19" t="s">
        <v>586</v>
      </c>
    </row>
    <row r="155" spans="1:26">
      <c r="A155" s="17">
        <v>0</v>
      </c>
      <c r="B155" s="17" t="s">
        <v>465</v>
      </c>
      <c r="C155" s="17"/>
      <c r="D155" s="17" t="s">
        <v>138</v>
      </c>
      <c r="E155" s="17" t="s">
        <v>490</v>
      </c>
      <c r="F155" s="17" t="s">
        <v>465</v>
      </c>
      <c r="G155" s="17" t="s">
        <v>411</v>
      </c>
      <c r="H155" s="17" t="s">
        <v>412</v>
      </c>
      <c r="I155" s="17"/>
      <c r="J155" s="17" t="s">
        <v>465</v>
      </c>
      <c r="K155" s="17" t="s">
        <v>465</v>
      </c>
      <c r="L155" s="17" t="s">
        <v>602</v>
      </c>
      <c r="M155" s="18" t="s">
        <v>685</v>
      </c>
      <c r="N155" s="17" t="s">
        <v>465</v>
      </c>
      <c r="O155" s="17" t="s">
        <v>509</v>
      </c>
      <c r="P155" s="22" t="s">
        <v>684</v>
      </c>
      <c r="Q155" s="17" t="s">
        <v>554</v>
      </c>
      <c r="R155" s="17" t="s">
        <v>465</v>
      </c>
      <c r="S155" s="17" t="s">
        <v>490</v>
      </c>
      <c r="T155" s="17" t="s">
        <v>465</v>
      </c>
      <c r="U155" s="17" t="s">
        <v>159</v>
      </c>
      <c r="V155" s="17" t="s">
        <v>465</v>
      </c>
      <c r="W155" s="17" t="s">
        <v>465</v>
      </c>
      <c r="X155" s="17" t="s">
        <v>602</v>
      </c>
      <c r="Y155" s="17" t="s">
        <v>602</v>
      </c>
      <c r="Z155" s="17" t="s">
        <v>602</v>
      </c>
    </row>
    <row r="156" spans="1:26">
      <c r="A156" s="17">
        <v>2</v>
      </c>
      <c r="B156" s="14" t="s">
        <v>465</v>
      </c>
      <c r="C156" s="14"/>
      <c r="D156" s="14" t="s">
        <v>465</v>
      </c>
      <c r="E156" s="14" t="s">
        <v>465</v>
      </c>
      <c r="F156" s="14" t="s">
        <v>465</v>
      </c>
      <c r="G156" s="14" t="s">
        <v>410</v>
      </c>
      <c r="H156" s="14" t="s">
        <v>413</v>
      </c>
      <c r="I156" s="14"/>
      <c r="J156" s="14" t="s">
        <v>480</v>
      </c>
      <c r="K156" s="14" t="s">
        <v>513</v>
      </c>
      <c r="L156" s="14" t="s">
        <v>680</v>
      </c>
      <c r="M156" s="15" t="s">
        <v>683</v>
      </c>
      <c r="N156" s="14" t="s">
        <v>682</v>
      </c>
      <c r="O156" s="14" t="s">
        <v>681</v>
      </c>
      <c r="P156" s="14" t="s">
        <v>575</v>
      </c>
      <c r="Q156" s="14" t="s">
        <v>482</v>
      </c>
      <c r="R156" s="14" t="s">
        <v>465</v>
      </c>
      <c r="S156" s="14" t="s">
        <v>33</v>
      </c>
      <c r="T156" s="14" t="s">
        <v>465</v>
      </c>
      <c r="U156" s="14" t="s">
        <v>484</v>
      </c>
      <c r="V156" s="14" t="s">
        <v>465</v>
      </c>
      <c r="W156" s="14" t="s">
        <v>680</v>
      </c>
      <c r="X156" s="14" t="s">
        <v>680</v>
      </c>
      <c r="Y156" s="14" t="s">
        <v>679</v>
      </c>
      <c r="Z156" s="14" t="s">
        <v>678</v>
      </c>
    </row>
    <row r="157" spans="1:26">
      <c r="A157" s="17">
        <v>1</v>
      </c>
      <c r="B157" s="19" t="s">
        <v>193</v>
      </c>
      <c r="C157" s="19" t="s">
        <v>505</v>
      </c>
      <c r="D157" s="19" t="s">
        <v>138</v>
      </c>
      <c r="E157" s="19" t="s">
        <v>529</v>
      </c>
      <c r="F157" s="19" t="s">
        <v>465</v>
      </c>
      <c r="G157" s="19" t="s">
        <v>192</v>
      </c>
      <c r="H157" s="19" t="s">
        <v>394</v>
      </c>
      <c r="I157" s="19" t="s">
        <v>528</v>
      </c>
      <c r="J157" s="19" t="s">
        <v>480</v>
      </c>
      <c r="K157" s="19" t="s">
        <v>513</v>
      </c>
      <c r="L157" s="19" t="s">
        <v>603</v>
      </c>
      <c r="M157" s="21" t="s">
        <v>638</v>
      </c>
      <c r="N157" s="19" t="s">
        <v>465</v>
      </c>
      <c r="O157" s="19" t="s">
        <v>637</v>
      </c>
      <c r="P157" s="20" t="s">
        <v>636</v>
      </c>
      <c r="Q157" s="19" t="s">
        <v>635</v>
      </c>
      <c r="R157" s="19" t="s">
        <v>465</v>
      </c>
      <c r="S157" s="19" t="s">
        <v>490</v>
      </c>
      <c r="T157" s="19" t="s">
        <v>465</v>
      </c>
      <c r="U157" s="19" t="s">
        <v>521</v>
      </c>
      <c r="V157" s="19" t="s">
        <v>465</v>
      </c>
      <c r="W157" s="19" t="s">
        <v>465</v>
      </c>
      <c r="X157" s="19" t="s">
        <v>603</v>
      </c>
      <c r="Y157" s="19" t="s">
        <v>602</v>
      </c>
      <c r="Z157" s="19" t="s">
        <v>601</v>
      </c>
    </row>
    <row r="158" spans="1:26">
      <c r="A158" s="17">
        <v>0</v>
      </c>
      <c r="B158" s="17" t="s">
        <v>465</v>
      </c>
      <c r="C158" s="17"/>
      <c r="D158" s="17" t="s">
        <v>138</v>
      </c>
      <c r="E158" s="17" t="s">
        <v>570</v>
      </c>
      <c r="F158" s="17" t="s">
        <v>465</v>
      </c>
      <c r="G158" s="17" t="s">
        <v>415</v>
      </c>
      <c r="H158" s="17" t="s">
        <v>399</v>
      </c>
      <c r="I158" s="17"/>
      <c r="J158" s="17" t="s">
        <v>465</v>
      </c>
      <c r="K158" s="17" t="s">
        <v>465</v>
      </c>
      <c r="L158" s="17" t="s">
        <v>616</v>
      </c>
      <c r="M158" s="18" t="s">
        <v>677</v>
      </c>
      <c r="N158" s="17" t="s">
        <v>465</v>
      </c>
      <c r="O158" s="17" t="s">
        <v>637</v>
      </c>
      <c r="P158" s="22" t="s">
        <v>676</v>
      </c>
      <c r="Q158" s="17" t="s">
        <v>675</v>
      </c>
      <c r="R158" s="17" t="s">
        <v>465</v>
      </c>
      <c r="S158" s="17" t="s">
        <v>490</v>
      </c>
      <c r="T158" s="17" t="s">
        <v>465</v>
      </c>
      <c r="U158" s="17" t="s">
        <v>159</v>
      </c>
      <c r="V158" s="17" t="s">
        <v>465</v>
      </c>
      <c r="W158" s="17" t="s">
        <v>465</v>
      </c>
      <c r="X158" s="17" t="s">
        <v>616</v>
      </c>
      <c r="Y158" s="17" t="s">
        <v>616</v>
      </c>
      <c r="Z158" s="17" t="s">
        <v>616</v>
      </c>
    </row>
    <row r="159" spans="1:26">
      <c r="A159" s="17">
        <v>2</v>
      </c>
      <c r="B159" s="14" t="s">
        <v>465</v>
      </c>
      <c r="C159" s="14"/>
      <c r="D159" s="14" t="s">
        <v>465</v>
      </c>
      <c r="E159" s="14" t="s">
        <v>465</v>
      </c>
      <c r="F159" s="14" t="s">
        <v>465</v>
      </c>
      <c r="G159" s="14" t="s">
        <v>200</v>
      </c>
      <c r="H159" s="14" t="s">
        <v>416</v>
      </c>
      <c r="I159" s="14"/>
      <c r="J159" s="14" t="s">
        <v>480</v>
      </c>
      <c r="K159" s="14" t="s">
        <v>513</v>
      </c>
      <c r="L159" s="14" t="s">
        <v>672</v>
      </c>
      <c r="M159" s="15" t="s">
        <v>674</v>
      </c>
      <c r="N159" s="14" t="s">
        <v>673</v>
      </c>
      <c r="O159" s="14" t="s">
        <v>481</v>
      </c>
      <c r="P159" s="14" t="s">
        <v>555</v>
      </c>
      <c r="Q159" s="14" t="s">
        <v>612</v>
      </c>
      <c r="R159" s="14" t="s">
        <v>465</v>
      </c>
      <c r="S159" s="14" t="s">
        <v>33</v>
      </c>
      <c r="T159" s="14" t="s">
        <v>465</v>
      </c>
      <c r="U159" s="14" t="s">
        <v>484</v>
      </c>
      <c r="V159" s="14" t="s">
        <v>465</v>
      </c>
      <c r="W159" s="14" t="s">
        <v>672</v>
      </c>
      <c r="X159" s="14" t="s">
        <v>672</v>
      </c>
      <c r="Y159" s="14" t="s">
        <v>671</v>
      </c>
      <c r="Z159" s="14" t="s">
        <v>477</v>
      </c>
    </row>
    <row r="160" spans="1:26">
      <c r="A160" s="17">
        <v>1</v>
      </c>
      <c r="B160" s="19" t="s">
        <v>244</v>
      </c>
      <c r="C160" s="19" t="s">
        <v>505</v>
      </c>
      <c r="D160" s="19" t="s">
        <v>233</v>
      </c>
      <c r="E160" s="19" t="s">
        <v>529</v>
      </c>
      <c r="F160" s="19" t="s">
        <v>465</v>
      </c>
      <c r="G160" s="19" t="s">
        <v>243</v>
      </c>
      <c r="H160" s="19" t="s">
        <v>390</v>
      </c>
      <c r="I160" s="19" t="s">
        <v>528</v>
      </c>
      <c r="J160" s="19" t="s">
        <v>558</v>
      </c>
      <c r="K160" s="19" t="s">
        <v>513</v>
      </c>
      <c r="L160" s="19" t="s">
        <v>618</v>
      </c>
      <c r="M160" s="21" t="s">
        <v>670</v>
      </c>
      <c r="N160" s="19" t="s">
        <v>465</v>
      </c>
      <c r="O160" s="19" t="s">
        <v>645</v>
      </c>
      <c r="P160" s="20" t="s">
        <v>669</v>
      </c>
      <c r="Q160" s="19" t="s">
        <v>513</v>
      </c>
      <c r="R160" s="19" t="s">
        <v>465</v>
      </c>
      <c r="S160" s="19" t="s">
        <v>490</v>
      </c>
      <c r="T160" s="19" t="s">
        <v>465</v>
      </c>
      <c r="U160" s="19" t="s">
        <v>521</v>
      </c>
      <c r="V160" s="19" t="s">
        <v>465</v>
      </c>
      <c r="W160" s="19" t="s">
        <v>465</v>
      </c>
      <c r="X160" s="19" t="s">
        <v>618</v>
      </c>
      <c r="Y160" s="19" t="s">
        <v>668</v>
      </c>
      <c r="Z160" s="19" t="s">
        <v>667</v>
      </c>
    </row>
    <row r="161" spans="1:26">
      <c r="A161" s="17">
        <v>0</v>
      </c>
      <c r="B161" s="17" t="s">
        <v>465</v>
      </c>
      <c r="C161" s="17"/>
      <c r="D161" s="17" t="s">
        <v>87</v>
      </c>
      <c r="E161" s="17" t="s">
        <v>491</v>
      </c>
      <c r="F161" s="17" t="s">
        <v>465</v>
      </c>
      <c r="G161" s="17" t="s">
        <v>419</v>
      </c>
      <c r="H161" s="17" t="s">
        <v>420</v>
      </c>
      <c r="I161" s="17"/>
      <c r="J161" s="17" t="s">
        <v>465</v>
      </c>
      <c r="K161" s="17" t="s">
        <v>465</v>
      </c>
      <c r="L161" s="17" t="s">
        <v>638</v>
      </c>
      <c r="M161" s="18" t="s">
        <v>666</v>
      </c>
      <c r="N161" s="17" t="s">
        <v>465</v>
      </c>
      <c r="O161" s="17" t="s">
        <v>513</v>
      </c>
      <c r="P161" s="22" t="s">
        <v>657</v>
      </c>
      <c r="Q161" s="17" t="s">
        <v>504</v>
      </c>
      <c r="R161" s="17" t="s">
        <v>138</v>
      </c>
      <c r="S161" s="17" t="s">
        <v>490</v>
      </c>
      <c r="T161" s="17" t="s">
        <v>465</v>
      </c>
      <c r="U161" s="17" t="s">
        <v>159</v>
      </c>
      <c r="V161" s="17" t="s">
        <v>465</v>
      </c>
      <c r="W161" s="17" t="s">
        <v>465</v>
      </c>
      <c r="X161" s="17" t="s">
        <v>638</v>
      </c>
      <c r="Y161" s="17" t="s">
        <v>638</v>
      </c>
      <c r="Z161" s="17" t="s">
        <v>638</v>
      </c>
    </row>
    <row r="162" spans="1:26">
      <c r="A162" s="17">
        <v>2</v>
      </c>
      <c r="B162" s="14" t="s">
        <v>465</v>
      </c>
      <c r="C162" s="14"/>
      <c r="D162" s="14" t="s">
        <v>465</v>
      </c>
      <c r="E162" s="14" t="s">
        <v>465</v>
      </c>
      <c r="F162" s="14" t="s">
        <v>465</v>
      </c>
      <c r="G162" s="14" t="s">
        <v>418</v>
      </c>
      <c r="H162" s="14" t="s">
        <v>421</v>
      </c>
      <c r="I162" s="14"/>
      <c r="J162" s="14" t="s">
        <v>558</v>
      </c>
      <c r="K162" s="14" t="s">
        <v>513</v>
      </c>
      <c r="L162" s="14" t="s">
        <v>663</v>
      </c>
      <c r="M162" s="15" t="s">
        <v>665</v>
      </c>
      <c r="N162" s="14" t="s">
        <v>628</v>
      </c>
      <c r="O162" s="14" t="s">
        <v>664</v>
      </c>
      <c r="P162" s="14" t="s">
        <v>654</v>
      </c>
      <c r="Q162" s="14" t="s">
        <v>590</v>
      </c>
      <c r="R162" s="14" t="s">
        <v>138</v>
      </c>
      <c r="S162" s="14" t="s">
        <v>33</v>
      </c>
      <c r="T162" s="14" t="s">
        <v>465</v>
      </c>
      <c r="U162" s="14" t="s">
        <v>484</v>
      </c>
      <c r="V162" s="14" t="s">
        <v>465</v>
      </c>
      <c r="W162" s="14" t="s">
        <v>663</v>
      </c>
      <c r="X162" s="14" t="s">
        <v>663</v>
      </c>
      <c r="Y162" s="14" t="s">
        <v>662</v>
      </c>
      <c r="Z162" s="14" t="s">
        <v>613</v>
      </c>
    </row>
    <row r="163" spans="1:26">
      <c r="A163" s="17">
        <v>1</v>
      </c>
      <c r="B163" s="19" t="s">
        <v>216</v>
      </c>
      <c r="C163" s="19" t="s">
        <v>505</v>
      </c>
      <c r="D163" s="19" t="s">
        <v>87</v>
      </c>
      <c r="E163" s="19" t="s">
        <v>491</v>
      </c>
      <c r="F163" s="19" t="s">
        <v>465</v>
      </c>
      <c r="G163" s="19" t="s">
        <v>214</v>
      </c>
      <c r="H163" s="19" t="s">
        <v>419</v>
      </c>
      <c r="I163" s="19" t="s">
        <v>528</v>
      </c>
      <c r="J163" s="19" t="s">
        <v>480</v>
      </c>
      <c r="K163" s="19" t="s">
        <v>513</v>
      </c>
      <c r="L163" s="19" t="s">
        <v>587</v>
      </c>
      <c r="M163" s="21" t="s">
        <v>661</v>
      </c>
      <c r="N163" s="19" t="s">
        <v>465</v>
      </c>
      <c r="O163" s="19" t="s">
        <v>660</v>
      </c>
      <c r="P163" s="20" t="s">
        <v>659</v>
      </c>
      <c r="Q163" s="19" t="s">
        <v>138</v>
      </c>
      <c r="R163" s="19" t="s">
        <v>41</v>
      </c>
      <c r="S163" s="19" t="s">
        <v>490</v>
      </c>
      <c r="T163" s="19" t="s">
        <v>465</v>
      </c>
      <c r="U163" s="19" t="s">
        <v>521</v>
      </c>
      <c r="V163" s="19" t="s">
        <v>465</v>
      </c>
      <c r="W163" s="19" t="s">
        <v>465</v>
      </c>
      <c r="X163" s="19" t="s">
        <v>587</v>
      </c>
      <c r="Y163" s="19" t="s">
        <v>566</v>
      </c>
      <c r="Z163" s="19" t="s">
        <v>586</v>
      </c>
    </row>
    <row r="164" spans="1:26">
      <c r="A164" s="17">
        <v>0</v>
      </c>
      <c r="B164" s="17" t="s">
        <v>465</v>
      </c>
      <c r="C164" s="17"/>
      <c r="D164" s="17" t="s">
        <v>87</v>
      </c>
      <c r="E164" s="17" t="s">
        <v>521</v>
      </c>
      <c r="F164" s="17" t="s">
        <v>465</v>
      </c>
      <c r="G164" s="17" t="s">
        <v>324</v>
      </c>
      <c r="H164" s="17" t="s">
        <v>420</v>
      </c>
      <c r="I164" s="17"/>
      <c r="J164" s="17" t="s">
        <v>465</v>
      </c>
      <c r="K164" s="17" t="s">
        <v>465</v>
      </c>
      <c r="L164" s="17" t="s">
        <v>656</v>
      </c>
      <c r="M164" s="18" t="s">
        <v>658</v>
      </c>
      <c r="N164" s="17" t="s">
        <v>465</v>
      </c>
      <c r="O164" s="17" t="s">
        <v>513</v>
      </c>
      <c r="P164" s="22" t="s">
        <v>657</v>
      </c>
      <c r="Q164" s="17" t="s">
        <v>545</v>
      </c>
      <c r="R164" s="17" t="s">
        <v>626</v>
      </c>
      <c r="S164" s="17" t="s">
        <v>490</v>
      </c>
      <c r="T164" s="17" t="s">
        <v>465</v>
      </c>
      <c r="U164" s="17" t="s">
        <v>159</v>
      </c>
      <c r="V164" s="17" t="s">
        <v>465</v>
      </c>
      <c r="W164" s="17" t="s">
        <v>465</v>
      </c>
      <c r="X164" s="17" t="s">
        <v>656</v>
      </c>
      <c r="Y164" s="17" t="s">
        <v>656</v>
      </c>
      <c r="Z164" s="17" t="s">
        <v>656</v>
      </c>
    </row>
    <row r="165" spans="1:26">
      <c r="A165" s="17">
        <v>2</v>
      </c>
      <c r="B165" s="14" t="s">
        <v>465</v>
      </c>
      <c r="C165" s="14"/>
      <c r="D165" s="14" t="s">
        <v>465</v>
      </c>
      <c r="E165" s="14" t="s">
        <v>465</v>
      </c>
      <c r="F165" s="14" t="s">
        <v>465</v>
      </c>
      <c r="G165" s="14" t="s">
        <v>422</v>
      </c>
      <c r="H165" s="14" t="s">
        <v>421</v>
      </c>
      <c r="I165" s="14"/>
      <c r="J165" s="14" t="s">
        <v>480</v>
      </c>
      <c r="K165" s="14" t="s">
        <v>513</v>
      </c>
      <c r="L165" s="14" t="s">
        <v>653</v>
      </c>
      <c r="M165" s="15" t="s">
        <v>655</v>
      </c>
      <c r="N165" s="14" t="s">
        <v>312</v>
      </c>
      <c r="O165" s="14" t="s">
        <v>562</v>
      </c>
      <c r="P165" s="14" t="s">
        <v>654</v>
      </c>
      <c r="Q165" s="14" t="s">
        <v>159</v>
      </c>
      <c r="R165" s="14" t="s">
        <v>611</v>
      </c>
      <c r="S165" s="14" t="s">
        <v>33</v>
      </c>
      <c r="T165" s="14" t="s">
        <v>465</v>
      </c>
      <c r="U165" s="14" t="s">
        <v>484</v>
      </c>
      <c r="V165" s="14" t="s">
        <v>465</v>
      </c>
      <c r="W165" s="14" t="s">
        <v>653</v>
      </c>
      <c r="X165" s="14" t="s">
        <v>653</v>
      </c>
      <c r="Y165" s="14" t="s">
        <v>652</v>
      </c>
      <c r="Z165" s="14" t="s">
        <v>651</v>
      </c>
    </row>
    <row r="166" spans="1:26">
      <c r="A166" s="17">
        <v>1</v>
      </c>
      <c r="B166" s="19" t="s">
        <v>253</v>
      </c>
      <c r="C166" s="19" t="s">
        <v>505</v>
      </c>
      <c r="D166" s="19" t="s">
        <v>138</v>
      </c>
      <c r="E166" s="19" t="s">
        <v>570</v>
      </c>
      <c r="F166" s="19" t="s">
        <v>465</v>
      </c>
      <c r="G166" s="19" t="s">
        <v>252</v>
      </c>
      <c r="H166" s="19" t="s">
        <v>415</v>
      </c>
      <c r="I166" s="19" t="s">
        <v>528</v>
      </c>
      <c r="J166" s="19" t="s">
        <v>558</v>
      </c>
      <c r="K166" s="19" t="s">
        <v>513</v>
      </c>
      <c r="L166" s="19" t="s">
        <v>650</v>
      </c>
      <c r="M166" s="21" t="s">
        <v>638</v>
      </c>
      <c r="N166" s="19" t="s">
        <v>465</v>
      </c>
      <c r="O166" s="19" t="s">
        <v>637</v>
      </c>
      <c r="P166" s="20" t="s">
        <v>636</v>
      </c>
      <c r="Q166" s="19" t="s">
        <v>635</v>
      </c>
      <c r="R166" s="19" t="s">
        <v>465</v>
      </c>
      <c r="S166" s="19" t="s">
        <v>490</v>
      </c>
      <c r="T166" s="19" t="s">
        <v>465</v>
      </c>
      <c r="U166" s="19" t="s">
        <v>521</v>
      </c>
      <c r="V166" s="19" t="s">
        <v>465</v>
      </c>
      <c r="W166" s="19" t="s">
        <v>465</v>
      </c>
      <c r="X166" s="19" t="s">
        <v>650</v>
      </c>
      <c r="Y166" s="19" t="s">
        <v>602</v>
      </c>
      <c r="Z166" s="19" t="s">
        <v>649</v>
      </c>
    </row>
    <row r="167" spans="1:26">
      <c r="A167" s="17">
        <v>0</v>
      </c>
      <c r="B167" s="17" t="s">
        <v>465</v>
      </c>
      <c r="C167" s="17"/>
      <c r="D167" s="17" t="s">
        <v>81</v>
      </c>
      <c r="E167" s="17" t="s">
        <v>521</v>
      </c>
      <c r="F167" s="17" t="s">
        <v>465</v>
      </c>
      <c r="G167" s="17" t="s">
        <v>305</v>
      </c>
      <c r="H167" s="17" t="s">
        <v>424</v>
      </c>
      <c r="I167" s="17"/>
      <c r="J167" s="17" t="s">
        <v>465</v>
      </c>
      <c r="K167" s="17" t="s">
        <v>465</v>
      </c>
      <c r="L167" s="17" t="s">
        <v>622</v>
      </c>
      <c r="M167" s="18" t="s">
        <v>648</v>
      </c>
      <c r="N167" s="17" t="s">
        <v>465</v>
      </c>
      <c r="O167" s="17" t="s">
        <v>518</v>
      </c>
      <c r="P167" s="22" t="s">
        <v>647</v>
      </c>
      <c r="Q167" s="17" t="s">
        <v>138</v>
      </c>
      <c r="R167" s="17" t="s">
        <v>41</v>
      </c>
      <c r="S167" s="17" t="s">
        <v>490</v>
      </c>
      <c r="T167" s="17" t="s">
        <v>465</v>
      </c>
      <c r="U167" s="17" t="s">
        <v>521</v>
      </c>
      <c r="V167" s="17" t="s">
        <v>465</v>
      </c>
      <c r="W167" s="17" t="s">
        <v>465</v>
      </c>
      <c r="X167" s="17" t="s">
        <v>622</v>
      </c>
      <c r="Y167" s="17" t="s">
        <v>622</v>
      </c>
      <c r="Z167" s="17" t="s">
        <v>622</v>
      </c>
    </row>
    <row r="168" spans="1:26">
      <c r="A168" s="17">
        <v>2</v>
      </c>
      <c r="B168" s="14" t="s">
        <v>465</v>
      </c>
      <c r="C168" s="14"/>
      <c r="D168" s="14" t="s">
        <v>465</v>
      </c>
      <c r="E168" s="14" t="s">
        <v>465</v>
      </c>
      <c r="F168" s="14" t="s">
        <v>465</v>
      </c>
      <c r="G168" s="14" t="s">
        <v>423</v>
      </c>
      <c r="H168" s="14" t="s">
        <v>425</v>
      </c>
      <c r="I168" s="14"/>
      <c r="J168" s="14" t="s">
        <v>558</v>
      </c>
      <c r="K168" s="14" t="s">
        <v>513</v>
      </c>
      <c r="L168" s="14" t="s">
        <v>641</v>
      </c>
      <c r="M168" s="15" t="s">
        <v>646</v>
      </c>
      <c r="N168" s="14" t="s">
        <v>645</v>
      </c>
      <c r="O168" s="14" t="s">
        <v>644</v>
      </c>
      <c r="P168" s="14" t="s">
        <v>643</v>
      </c>
      <c r="Q168" s="14" t="s">
        <v>642</v>
      </c>
      <c r="R168" s="14" t="s">
        <v>41</v>
      </c>
      <c r="S168" s="14" t="s">
        <v>33</v>
      </c>
      <c r="T168" s="14" t="s">
        <v>465</v>
      </c>
      <c r="U168" s="14" t="s">
        <v>545</v>
      </c>
      <c r="V168" s="14" t="s">
        <v>465</v>
      </c>
      <c r="W168" s="14" t="s">
        <v>641</v>
      </c>
      <c r="X168" s="14" t="s">
        <v>641</v>
      </c>
      <c r="Y168" s="14" t="s">
        <v>640</v>
      </c>
      <c r="Z168" s="14" t="s">
        <v>639</v>
      </c>
    </row>
    <row r="169" spans="1:26">
      <c r="A169" s="17">
        <v>1</v>
      </c>
      <c r="B169" s="19" t="s">
        <v>223</v>
      </c>
      <c r="C169" s="19" t="s">
        <v>505</v>
      </c>
      <c r="D169" s="19" t="s">
        <v>138</v>
      </c>
      <c r="E169" s="19" t="s">
        <v>490</v>
      </c>
      <c r="F169" s="19" t="s">
        <v>465</v>
      </c>
      <c r="G169" s="19" t="s">
        <v>222</v>
      </c>
      <c r="H169" s="19" t="s">
        <v>411</v>
      </c>
      <c r="I169" s="19" t="s">
        <v>528</v>
      </c>
      <c r="J169" s="19" t="s">
        <v>564</v>
      </c>
      <c r="K169" s="19" t="s">
        <v>513</v>
      </c>
      <c r="L169" s="19" t="s">
        <v>634</v>
      </c>
      <c r="M169" s="21" t="s">
        <v>638</v>
      </c>
      <c r="N169" s="19" t="s">
        <v>465</v>
      </c>
      <c r="O169" s="19" t="s">
        <v>637</v>
      </c>
      <c r="P169" s="20" t="s">
        <v>636</v>
      </c>
      <c r="Q169" s="19" t="s">
        <v>635</v>
      </c>
      <c r="R169" s="19" t="s">
        <v>465</v>
      </c>
      <c r="S169" s="19" t="s">
        <v>490</v>
      </c>
      <c r="T169" s="19" t="s">
        <v>465</v>
      </c>
      <c r="U169" s="19" t="s">
        <v>521</v>
      </c>
      <c r="V169" s="19" t="s">
        <v>465</v>
      </c>
      <c r="W169" s="19" t="s">
        <v>465</v>
      </c>
      <c r="X169" s="19" t="s">
        <v>634</v>
      </c>
      <c r="Y169" s="19" t="s">
        <v>602</v>
      </c>
      <c r="Z169" s="19" t="s">
        <v>619</v>
      </c>
    </row>
    <row r="170" spans="1:26">
      <c r="A170" s="17">
        <v>0</v>
      </c>
      <c r="B170" s="17" t="s">
        <v>465</v>
      </c>
      <c r="C170" s="17"/>
      <c r="D170" s="17" t="s">
        <v>81</v>
      </c>
      <c r="E170" s="17" t="s">
        <v>529</v>
      </c>
      <c r="F170" s="17" t="s">
        <v>465</v>
      </c>
      <c r="G170" s="17" t="s">
        <v>428</v>
      </c>
      <c r="H170" s="17" t="s">
        <v>429</v>
      </c>
      <c r="I170" s="17"/>
      <c r="J170" s="17" t="s">
        <v>465</v>
      </c>
      <c r="K170" s="17" t="s">
        <v>465</v>
      </c>
      <c r="L170" s="17" t="s">
        <v>630</v>
      </c>
      <c r="M170" s="18" t="s">
        <v>633</v>
      </c>
      <c r="N170" s="17" t="s">
        <v>465</v>
      </c>
      <c r="O170" s="17" t="s">
        <v>632</v>
      </c>
      <c r="P170" s="22" t="s">
        <v>631</v>
      </c>
      <c r="Q170" s="17" t="s">
        <v>41</v>
      </c>
      <c r="R170" s="17" t="s">
        <v>626</v>
      </c>
      <c r="S170" s="17" t="s">
        <v>490</v>
      </c>
      <c r="T170" s="17" t="s">
        <v>465</v>
      </c>
      <c r="U170" s="17" t="s">
        <v>159</v>
      </c>
      <c r="V170" s="17" t="s">
        <v>465</v>
      </c>
      <c r="W170" s="17" t="s">
        <v>465</v>
      </c>
      <c r="X170" s="17" t="s">
        <v>630</v>
      </c>
      <c r="Y170" s="17" t="s">
        <v>630</v>
      </c>
      <c r="Z170" s="17" t="s">
        <v>630</v>
      </c>
    </row>
    <row r="171" spans="1:26">
      <c r="A171" s="17">
        <v>2</v>
      </c>
      <c r="B171" s="14" t="s">
        <v>465</v>
      </c>
      <c r="C171" s="14"/>
      <c r="D171" s="14" t="s">
        <v>465</v>
      </c>
      <c r="E171" s="14" t="s">
        <v>465</v>
      </c>
      <c r="F171" s="14" t="s">
        <v>465</v>
      </c>
      <c r="G171" s="14" t="s">
        <v>427</v>
      </c>
      <c r="H171" s="14" t="s">
        <v>430</v>
      </c>
      <c r="I171" s="14"/>
      <c r="J171" s="14" t="s">
        <v>564</v>
      </c>
      <c r="K171" s="14" t="s">
        <v>513</v>
      </c>
      <c r="L171" s="14" t="s">
        <v>625</v>
      </c>
      <c r="M171" s="15" t="s">
        <v>629</v>
      </c>
      <c r="N171" s="14" t="s">
        <v>628</v>
      </c>
      <c r="O171" s="14" t="s">
        <v>511</v>
      </c>
      <c r="P171" s="14" t="s">
        <v>627</v>
      </c>
      <c r="Q171" s="14" t="s">
        <v>593</v>
      </c>
      <c r="R171" s="14" t="s">
        <v>626</v>
      </c>
      <c r="S171" s="14" t="s">
        <v>33</v>
      </c>
      <c r="T171" s="14" t="s">
        <v>465</v>
      </c>
      <c r="U171" s="14" t="s">
        <v>484</v>
      </c>
      <c r="V171" s="14" t="s">
        <v>465</v>
      </c>
      <c r="W171" s="14" t="s">
        <v>625</v>
      </c>
      <c r="X171" s="14" t="s">
        <v>625</v>
      </c>
      <c r="Y171" s="14" t="s">
        <v>624</v>
      </c>
      <c r="Z171" s="14" t="s">
        <v>623</v>
      </c>
    </row>
    <row r="172" spans="1:26">
      <c r="A172" s="17">
        <v>1</v>
      </c>
      <c r="B172" s="19" t="s">
        <v>363</v>
      </c>
      <c r="C172" s="19" t="s">
        <v>505</v>
      </c>
      <c r="D172" s="19" t="s">
        <v>138</v>
      </c>
      <c r="E172" s="19" t="s">
        <v>491</v>
      </c>
      <c r="F172" s="19" t="s">
        <v>465</v>
      </c>
      <c r="G172" s="19" t="s">
        <v>362</v>
      </c>
      <c r="H172" s="19" t="s">
        <v>404</v>
      </c>
      <c r="I172" s="19" t="s">
        <v>528</v>
      </c>
      <c r="J172" s="19" t="s">
        <v>614</v>
      </c>
      <c r="K172" s="19" t="s">
        <v>513</v>
      </c>
      <c r="L172" s="19" t="s">
        <v>620</v>
      </c>
      <c r="M172" s="21" t="s">
        <v>622</v>
      </c>
      <c r="N172" s="19" t="s">
        <v>465</v>
      </c>
      <c r="O172" s="19" t="s">
        <v>611</v>
      </c>
      <c r="P172" s="20" t="s">
        <v>621</v>
      </c>
      <c r="Q172" s="19" t="s">
        <v>534</v>
      </c>
      <c r="R172" s="19" t="s">
        <v>465</v>
      </c>
      <c r="S172" s="19" t="s">
        <v>490</v>
      </c>
      <c r="T172" s="19" t="s">
        <v>465</v>
      </c>
      <c r="U172" s="19" t="s">
        <v>521</v>
      </c>
      <c r="V172" s="19" t="s">
        <v>465</v>
      </c>
      <c r="W172" s="19" t="s">
        <v>465</v>
      </c>
      <c r="X172" s="19" t="s">
        <v>620</v>
      </c>
      <c r="Y172" s="19" t="s">
        <v>619</v>
      </c>
      <c r="Z172" s="19" t="s">
        <v>618</v>
      </c>
    </row>
    <row r="173" spans="1:26">
      <c r="A173" s="17">
        <v>0</v>
      </c>
      <c r="B173" s="17" t="s">
        <v>465</v>
      </c>
      <c r="C173" s="17"/>
      <c r="D173" s="17" t="s">
        <v>105</v>
      </c>
      <c r="E173" s="17" t="s">
        <v>491</v>
      </c>
      <c r="F173" s="17" t="s">
        <v>465</v>
      </c>
      <c r="G173" s="17" t="s">
        <v>433</v>
      </c>
      <c r="H173" s="17" t="s">
        <v>434</v>
      </c>
      <c r="I173" s="17"/>
      <c r="J173" s="17" t="s">
        <v>465</v>
      </c>
      <c r="K173" s="17" t="s">
        <v>465</v>
      </c>
      <c r="L173" s="17" t="s">
        <v>616</v>
      </c>
      <c r="M173" s="18" t="s">
        <v>617</v>
      </c>
      <c r="N173" s="17" t="s">
        <v>465</v>
      </c>
      <c r="O173" s="17" t="s">
        <v>498</v>
      </c>
      <c r="P173" s="17" t="s">
        <v>465</v>
      </c>
      <c r="Q173" s="17" t="s">
        <v>549</v>
      </c>
      <c r="R173" s="17" t="s">
        <v>465</v>
      </c>
      <c r="S173" s="17" t="s">
        <v>490</v>
      </c>
      <c r="T173" s="17" t="s">
        <v>465</v>
      </c>
      <c r="U173" s="17" t="s">
        <v>142</v>
      </c>
      <c r="V173" s="17" t="s">
        <v>465</v>
      </c>
      <c r="W173" s="17" t="s">
        <v>465</v>
      </c>
      <c r="X173" s="17" t="s">
        <v>616</v>
      </c>
      <c r="Y173" s="17" t="s">
        <v>616</v>
      </c>
      <c r="Z173" s="17" t="s">
        <v>616</v>
      </c>
    </row>
    <row r="174" spans="1:26">
      <c r="A174" s="17">
        <v>2</v>
      </c>
      <c r="B174" s="14" t="s">
        <v>465</v>
      </c>
      <c r="C174" s="14"/>
      <c r="D174" s="14" t="s">
        <v>465</v>
      </c>
      <c r="E174" s="14" t="s">
        <v>465</v>
      </c>
      <c r="F174" s="14" t="s">
        <v>465</v>
      </c>
      <c r="G174" s="14" t="s">
        <v>432</v>
      </c>
      <c r="H174" s="14" t="s">
        <v>615</v>
      </c>
      <c r="I174" s="14"/>
      <c r="J174" s="14" t="s">
        <v>614</v>
      </c>
      <c r="K174" s="14" t="s">
        <v>513</v>
      </c>
      <c r="L174" s="14" t="s">
        <v>608</v>
      </c>
      <c r="M174" s="15" t="s">
        <v>613</v>
      </c>
      <c r="N174" s="14" t="s">
        <v>612</v>
      </c>
      <c r="O174" s="14" t="s">
        <v>611</v>
      </c>
      <c r="P174" s="14" t="s">
        <v>610</v>
      </c>
      <c r="Q174" s="14" t="s">
        <v>609</v>
      </c>
      <c r="R174" s="14" t="s">
        <v>465</v>
      </c>
      <c r="S174" s="14" t="s">
        <v>33</v>
      </c>
      <c r="T174" s="14" t="s">
        <v>465</v>
      </c>
      <c r="U174" s="14" t="s">
        <v>581</v>
      </c>
      <c r="V174" s="14" t="s">
        <v>465</v>
      </c>
      <c r="W174" s="14" t="s">
        <v>608</v>
      </c>
      <c r="X174" s="14" t="s">
        <v>608</v>
      </c>
      <c r="Y174" s="14" t="s">
        <v>607</v>
      </c>
      <c r="Z174" s="14" t="s">
        <v>606</v>
      </c>
    </row>
    <row r="175" spans="1:26">
      <c r="A175" s="17">
        <v>1</v>
      </c>
      <c r="B175" s="19" t="s">
        <v>379</v>
      </c>
      <c r="C175" s="19" t="s">
        <v>505</v>
      </c>
      <c r="D175" s="19" t="s">
        <v>81</v>
      </c>
      <c r="E175" s="19" t="s">
        <v>529</v>
      </c>
      <c r="F175" s="19" t="s">
        <v>465</v>
      </c>
      <c r="G175" s="19" t="s">
        <v>378</v>
      </c>
      <c r="H175" s="19" t="s">
        <v>428</v>
      </c>
      <c r="I175" s="19" t="s">
        <v>528</v>
      </c>
      <c r="J175" s="19" t="s">
        <v>480</v>
      </c>
      <c r="K175" s="19" t="s">
        <v>513</v>
      </c>
      <c r="L175" s="19" t="s">
        <v>603</v>
      </c>
      <c r="M175" s="21" t="s">
        <v>605</v>
      </c>
      <c r="N175" s="19" t="s">
        <v>465</v>
      </c>
      <c r="O175" s="19" t="s">
        <v>53</v>
      </c>
      <c r="P175" s="20" t="s">
        <v>604</v>
      </c>
      <c r="Q175" s="19" t="s">
        <v>159</v>
      </c>
      <c r="R175" s="19" t="s">
        <v>81</v>
      </c>
      <c r="S175" s="19" t="s">
        <v>490</v>
      </c>
      <c r="T175" s="19" t="s">
        <v>465</v>
      </c>
      <c r="U175" s="19" t="s">
        <v>521</v>
      </c>
      <c r="V175" s="19" t="s">
        <v>465</v>
      </c>
      <c r="W175" s="19" t="s">
        <v>465</v>
      </c>
      <c r="X175" s="19" t="s">
        <v>603</v>
      </c>
      <c r="Y175" s="19" t="s">
        <v>602</v>
      </c>
      <c r="Z175" s="19" t="s">
        <v>601</v>
      </c>
    </row>
    <row r="176" spans="1:26">
      <c r="A176" s="17">
        <v>0</v>
      </c>
      <c r="B176" s="17" t="s">
        <v>465</v>
      </c>
      <c r="C176" s="17"/>
      <c r="D176" s="17" t="s">
        <v>41</v>
      </c>
      <c r="E176" s="17" t="s">
        <v>491</v>
      </c>
      <c r="F176" s="17" t="s">
        <v>465</v>
      </c>
      <c r="G176" s="17" t="s">
        <v>436</v>
      </c>
      <c r="H176" s="17" t="s">
        <v>600</v>
      </c>
      <c r="I176" s="17"/>
      <c r="J176" s="17" t="s">
        <v>465</v>
      </c>
      <c r="K176" s="17" t="s">
        <v>465</v>
      </c>
      <c r="L176" s="17" t="s">
        <v>501</v>
      </c>
      <c r="M176" s="18" t="s">
        <v>599</v>
      </c>
      <c r="N176" s="17" t="s">
        <v>465</v>
      </c>
      <c r="O176" s="17" t="s">
        <v>598</v>
      </c>
      <c r="P176" s="22" t="s">
        <v>597</v>
      </c>
      <c r="Q176" s="17" t="s">
        <v>498</v>
      </c>
      <c r="R176" s="17" t="s">
        <v>596</v>
      </c>
      <c r="S176" s="17" t="s">
        <v>490</v>
      </c>
      <c r="T176" s="17" t="s">
        <v>465</v>
      </c>
      <c r="U176" s="17" t="s">
        <v>159</v>
      </c>
      <c r="V176" s="17" t="s">
        <v>465</v>
      </c>
      <c r="W176" s="17" t="s">
        <v>465</v>
      </c>
      <c r="X176" s="17" t="s">
        <v>501</v>
      </c>
      <c r="Y176" s="17" t="s">
        <v>501</v>
      </c>
      <c r="Z176" s="17" t="s">
        <v>501</v>
      </c>
    </row>
    <row r="177" spans="1:26">
      <c r="A177" s="17">
        <v>2</v>
      </c>
      <c r="B177" s="14" t="s">
        <v>465</v>
      </c>
      <c r="C177" s="14"/>
      <c r="D177" s="14" t="s">
        <v>465</v>
      </c>
      <c r="E177" s="14" t="s">
        <v>465</v>
      </c>
      <c r="F177" s="14" t="s">
        <v>465</v>
      </c>
      <c r="G177" s="14" t="s">
        <v>304</v>
      </c>
      <c r="H177" s="14" t="s">
        <v>595</v>
      </c>
      <c r="I177" s="14"/>
      <c r="J177" s="14" t="s">
        <v>480</v>
      </c>
      <c r="K177" s="14" t="s">
        <v>513</v>
      </c>
      <c r="L177" s="14" t="s">
        <v>589</v>
      </c>
      <c r="M177" s="15" t="s">
        <v>594</v>
      </c>
      <c r="N177" s="14" t="s">
        <v>593</v>
      </c>
      <c r="O177" s="14" t="s">
        <v>592</v>
      </c>
      <c r="P177" s="14" t="s">
        <v>591</v>
      </c>
      <c r="Q177" s="14" t="s">
        <v>159</v>
      </c>
      <c r="R177" s="14" t="s">
        <v>590</v>
      </c>
      <c r="S177" s="14" t="s">
        <v>33</v>
      </c>
      <c r="T177" s="14" t="s">
        <v>465</v>
      </c>
      <c r="U177" s="14" t="s">
        <v>484</v>
      </c>
      <c r="V177" s="14" t="s">
        <v>465</v>
      </c>
      <c r="W177" s="14" t="s">
        <v>589</v>
      </c>
      <c r="X177" s="14" t="s">
        <v>589</v>
      </c>
      <c r="Y177" s="14" t="s">
        <v>588</v>
      </c>
      <c r="Z177" s="14" t="s">
        <v>553</v>
      </c>
    </row>
    <row r="178" spans="1:26">
      <c r="A178" s="17">
        <v>1</v>
      </c>
      <c r="B178" s="19" t="s">
        <v>369</v>
      </c>
      <c r="C178" s="19" t="s">
        <v>505</v>
      </c>
      <c r="D178" s="19" t="s">
        <v>41</v>
      </c>
      <c r="E178" s="19" t="s">
        <v>491</v>
      </c>
      <c r="F178" s="19" t="s">
        <v>465</v>
      </c>
      <c r="G178" s="19" t="s">
        <v>317</v>
      </c>
      <c r="H178" s="19" t="s">
        <v>436</v>
      </c>
      <c r="I178" s="19" t="s">
        <v>528</v>
      </c>
      <c r="J178" s="19" t="s">
        <v>480</v>
      </c>
      <c r="K178" s="19" t="s">
        <v>513</v>
      </c>
      <c r="L178" s="19" t="s">
        <v>587</v>
      </c>
      <c r="M178" s="21" t="s">
        <v>569</v>
      </c>
      <c r="N178" s="19" t="s">
        <v>465</v>
      </c>
      <c r="O178" s="19" t="s">
        <v>568</v>
      </c>
      <c r="P178" s="20" t="s">
        <v>567</v>
      </c>
      <c r="Q178" s="19" t="s">
        <v>554</v>
      </c>
      <c r="R178" s="19" t="s">
        <v>41</v>
      </c>
      <c r="S178" s="19" t="s">
        <v>490</v>
      </c>
      <c r="T178" s="19" t="s">
        <v>465</v>
      </c>
      <c r="U178" s="19" t="s">
        <v>521</v>
      </c>
      <c r="V178" s="19" t="s">
        <v>465</v>
      </c>
      <c r="W178" s="19" t="s">
        <v>465</v>
      </c>
      <c r="X178" s="19" t="s">
        <v>587</v>
      </c>
      <c r="Y178" s="19" t="s">
        <v>566</v>
      </c>
      <c r="Z178" s="19" t="s">
        <v>586</v>
      </c>
    </row>
    <row r="179" spans="1:26">
      <c r="A179" s="17">
        <v>0</v>
      </c>
      <c r="B179" s="17" t="s">
        <v>465</v>
      </c>
      <c r="C179" s="17"/>
      <c r="D179" s="17" t="s">
        <v>41</v>
      </c>
      <c r="E179" s="17" t="s">
        <v>570</v>
      </c>
      <c r="F179" s="17" t="s">
        <v>465</v>
      </c>
      <c r="G179" s="17" t="s">
        <v>440</v>
      </c>
      <c r="H179" s="17" t="s">
        <v>585</v>
      </c>
      <c r="I179" s="17"/>
      <c r="J179" s="17" t="s">
        <v>465</v>
      </c>
      <c r="K179" s="17" t="s">
        <v>465</v>
      </c>
      <c r="L179" s="17" t="s">
        <v>580</v>
      </c>
      <c r="M179" s="18" t="s">
        <v>584</v>
      </c>
      <c r="N179" s="17" t="s">
        <v>465</v>
      </c>
      <c r="O179" s="17" t="s">
        <v>583</v>
      </c>
      <c r="P179" s="22" t="s">
        <v>582</v>
      </c>
      <c r="Q179" s="17" t="s">
        <v>498</v>
      </c>
      <c r="R179" s="17" t="s">
        <v>581</v>
      </c>
      <c r="S179" s="17" t="s">
        <v>490</v>
      </c>
      <c r="T179" s="17" t="s">
        <v>465</v>
      </c>
      <c r="U179" s="17" t="s">
        <v>159</v>
      </c>
      <c r="V179" s="17" t="s">
        <v>465</v>
      </c>
      <c r="W179" s="17" t="s">
        <v>465</v>
      </c>
      <c r="X179" s="17" t="s">
        <v>580</v>
      </c>
      <c r="Y179" s="17" t="s">
        <v>580</v>
      </c>
      <c r="Z179" s="17" t="s">
        <v>580</v>
      </c>
    </row>
    <row r="180" spans="1:26">
      <c r="A180" s="17">
        <v>2</v>
      </c>
      <c r="B180" s="14" t="s">
        <v>465</v>
      </c>
      <c r="C180" s="14"/>
      <c r="D180" s="14" t="s">
        <v>465</v>
      </c>
      <c r="E180" s="14" t="s">
        <v>465</v>
      </c>
      <c r="F180" s="14" t="s">
        <v>465</v>
      </c>
      <c r="G180" s="14" t="s">
        <v>439</v>
      </c>
      <c r="H180" s="14" t="s">
        <v>579</v>
      </c>
      <c r="I180" s="14"/>
      <c r="J180" s="14" t="s">
        <v>480</v>
      </c>
      <c r="K180" s="14" t="s">
        <v>513</v>
      </c>
      <c r="L180" s="14" t="s">
        <v>573</v>
      </c>
      <c r="M180" s="15" t="s">
        <v>578</v>
      </c>
      <c r="N180" s="14" t="s">
        <v>577</v>
      </c>
      <c r="O180" s="14" t="s">
        <v>576</v>
      </c>
      <c r="P180" s="14" t="s">
        <v>575</v>
      </c>
      <c r="Q180" s="14" t="s">
        <v>554</v>
      </c>
      <c r="R180" s="14" t="s">
        <v>574</v>
      </c>
      <c r="S180" s="14" t="s">
        <v>33</v>
      </c>
      <c r="T180" s="14" t="s">
        <v>465</v>
      </c>
      <c r="U180" s="14" t="s">
        <v>484</v>
      </c>
      <c r="V180" s="14" t="s">
        <v>465</v>
      </c>
      <c r="W180" s="14" t="s">
        <v>573</v>
      </c>
      <c r="X180" s="14" t="s">
        <v>573</v>
      </c>
      <c r="Y180" s="14" t="s">
        <v>572</v>
      </c>
      <c r="Z180" s="14" t="s">
        <v>571</v>
      </c>
    </row>
    <row r="181" spans="1:26">
      <c r="A181" s="17">
        <v>1</v>
      </c>
      <c r="B181" s="19" t="s">
        <v>388</v>
      </c>
      <c r="C181" s="19" t="s">
        <v>505</v>
      </c>
      <c r="D181" s="19" t="s">
        <v>41</v>
      </c>
      <c r="E181" s="19" t="s">
        <v>570</v>
      </c>
      <c r="F181" s="19" t="s">
        <v>465</v>
      </c>
      <c r="G181" s="19" t="s">
        <v>387</v>
      </c>
      <c r="H181" s="19" t="s">
        <v>440</v>
      </c>
      <c r="I181" s="19" t="s">
        <v>528</v>
      </c>
      <c r="J181" s="19" t="s">
        <v>558</v>
      </c>
      <c r="K181" s="19" t="s">
        <v>513</v>
      </c>
      <c r="L181" s="19" t="s">
        <v>497</v>
      </c>
      <c r="M181" s="21" t="s">
        <v>569</v>
      </c>
      <c r="N181" s="19" t="s">
        <v>465</v>
      </c>
      <c r="O181" s="19" t="s">
        <v>568</v>
      </c>
      <c r="P181" s="20" t="s">
        <v>567</v>
      </c>
      <c r="Q181" s="19" t="s">
        <v>554</v>
      </c>
      <c r="R181" s="19" t="s">
        <v>41</v>
      </c>
      <c r="S181" s="19" t="s">
        <v>490</v>
      </c>
      <c r="T181" s="19" t="s">
        <v>465</v>
      </c>
      <c r="U181" s="19" t="s">
        <v>521</v>
      </c>
      <c r="V181" s="19" t="s">
        <v>465</v>
      </c>
      <c r="W181" s="19" t="s">
        <v>465</v>
      </c>
      <c r="X181" s="19" t="s">
        <v>497</v>
      </c>
      <c r="Y181" s="19" t="s">
        <v>566</v>
      </c>
      <c r="Z181" s="19" t="s">
        <v>565</v>
      </c>
    </row>
    <row r="182" spans="1:26">
      <c r="A182" s="17">
        <v>0</v>
      </c>
      <c r="B182" s="17" t="s">
        <v>465</v>
      </c>
      <c r="C182" s="17"/>
      <c r="D182" s="17" t="s">
        <v>87</v>
      </c>
      <c r="E182" s="17" t="s">
        <v>529</v>
      </c>
      <c r="F182" s="17" t="s">
        <v>465</v>
      </c>
      <c r="G182" s="17" t="s">
        <v>444</v>
      </c>
      <c r="H182" s="17" t="s">
        <v>564</v>
      </c>
      <c r="I182" s="17"/>
      <c r="J182" s="17" t="s">
        <v>465</v>
      </c>
      <c r="K182" s="17" t="s">
        <v>465</v>
      </c>
      <c r="L182" s="17" t="s">
        <v>560</v>
      </c>
      <c r="M182" s="18" t="s">
        <v>563</v>
      </c>
      <c r="N182" s="17" t="s">
        <v>465</v>
      </c>
      <c r="O182" s="17" t="s">
        <v>562</v>
      </c>
      <c r="P182" s="22" t="s">
        <v>561</v>
      </c>
      <c r="Q182" s="17" t="s">
        <v>498</v>
      </c>
      <c r="R182" s="17" t="s">
        <v>465</v>
      </c>
      <c r="S182" s="17" t="s">
        <v>490</v>
      </c>
      <c r="T182" s="17" t="s">
        <v>465</v>
      </c>
      <c r="U182" s="17" t="s">
        <v>159</v>
      </c>
      <c r="V182" s="17" t="s">
        <v>465</v>
      </c>
      <c r="W182" s="17" t="s">
        <v>465</v>
      </c>
      <c r="X182" s="17" t="s">
        <v>560</v>
      </c>
      <c r="Y182" s="17" t="s">
        <v>560</v>
      </c>
      <c r="Z182" s="17" t="s">
        <v>560</v>
      </c>
    </row>
    <row r="183" spans="1:26">
      <c r="A183" s="17">
        <v>2</v>
      </c>
      <c r="B183" s="14" t="s">
        <v>465</v>
      </c>
      <c r="C183" s="14"/>
      <c r="D183" s="14" t="s">
        <v>465</v>
      </c>
      <c r="E183" s="14" t="s">
        <v>465</v>
      </c>
      <c r="F183" s="14" t="s">
        <v>465</v>
      </c>
      <c r="G183" s="14" t="s">
        <v>443</v>
      </c>
      <c r="H183" s="14" t="s">
        <v>559</v>
      </c>
      <c r="I183" s="14"/>
      <c r="J183" s="14" t="s">
        <v>558</v>
      </c>
      <c r="K183" s="14" t="s">
        <v>513</v>
      </c>
      <c r="L183" s="14" t="s">
        <v>553</v>
      </c>
      <c r="M183" s="15" t="s">
        <v>557</v>
      </c>
      <c r="N183" s="14" t="s">
        <v>312</v>
      </c>
      <c r="O183" s="14" t="s">
        <v>556</v>
      </c>
      <c r="P183" s="14" t="s">
        <v>555</v>
      </c>
      <c r="Q183" s="14" t="s">
        <v>554</v>
      </c>
      <c r="R183" s="14" t="s">
        <v>41</v>
      </c>
      <c r="S183" s="14" t="s">
        <v>33</v>
      </c>
      <c r="T183" s="14" t="s">
        <v>465</v>
      </c>
      <c r="U183" s="14" t="s">
        <v>484</v>
      </c>
      <c r="V183" s="14" t="s">
        <v>465</v>
      </c>
      <c r="W183" s="14" t="s">
        <v>553</v>
      </c>
      <c r="X183" s="14" t="s">
        <v>553</v>
      </c>
      <c r="Y183" s="14" t="s">
        <v>552</v>
      </c>
      <c r="Z183" s="14" t="s">
        <v>551</v>
      </c>
    </row>
    <row r="184" spans="1:26">
      <c r="A184" s="17">
        <v>1</v>
      </c>
      <c r="B184" s="19" t="s">
        <v>277</v>
      </c>
      <c r="C184" s="19" t="s">
        <v>505</v>
      </c>
      <c r="D184" s="19" t="s">
        <v>105</v>
      </c>
      <c r="E184" s="19" t="s">
        <v>491</v>
      </c>
      <c r="F184" s="19" t="s">
        <v>465</v>
      </c>
      <c r="G184" s="19" t="s">
        <v>276</v>
      </c>
      <c r="H184" s="19" t="s">
        <v>433</v>
      </c>
      <c r="I184" s="19" t="s">
        <v>528</v>
      </c>
      <c r="J184" s="19" t="s">
        <v>539</v>
      </c>
      <c r="K184" s="19" t="s">
        <v>513</v>
      </c>
      <c r="L184" s="19" t="s">
        <v>548</v>
      </c>
      <c r="M184" s="21" t="s">
        <v>550</v>
      </c>
      <c r="N184" s="19" t="s">
        <v>465</v>
      </c>
      <c r="O184" s="19" t="s">
        <v>498</v>
      </c>
      <c r="P184" s="19" t="s">
        <v>465</v>
      </c>
      <c r="Q184" s="19" t="s">
        <v>549</v>
      </c>
      <c r="R184" s="19" t="s">
        <v>465</v>
      </c>
      <c r="S184" s="19" t="s">
        <v>490</v>
      </c>
      <c r="T184" s="19" t="s">
        <v>465</v>
      </c>
      <c r="U184" s="19" t="s">
        <v>521</v>
      </c>
      <c r="V184" s="19" t="s">
        <v>465</v>
      </c>
      <c r="W184" s="19" t="s">
        <v>465</v>
      </c>
      <c r="X184" s="19" t="s">
        <v>548</v>
      </c>
      <c r="Y184" s="19" t="s">
        <v>547</v>
      </c>
      <c r="Z184" s="19" t="s">
        <v>546</v>
      </c>
    </row>
    <row r="185" spans="1:26">
      <c r="A185" s="17">
        <v>0</v>
      </c>
      <c r="B185" s="17" t="s">
        <v>465</v>
      </c>
      <c r="C185" s="17"/>
      <c r="D185" s="17" t="s">
        <v>138</v>
      </c>
      <c r="E185" s="17" t="s">
        <v>545</v>
      </c>
      <c r="F185" s="17" t="s">
        <v>465</v>
      </c>
      <c r="G185" s="17" t="s">
        <v>376</v>
      </c>
      <c r="H185" s="17" t="s">
        <v>544</v>
      </c>
      <c r="I185" s="17"/>
      <c r="J185" s="17" t="s">
        <v>465</v>
      </c>
      <c r="K185" s="17" t="s">
        <v>465</v>
      </c>
      <c r="L185" s="17" t="s">
        <v>541</v>
      </c>
      <c r="M185" s="18" t="s">
        <v>543</v>
      </c>
      <c r="N185" s="17" t="s">
        <v>465</v>
      </c>
      <c r="O185" s="17" t="s">
        <v>536</v>
      </c>
      <c r="P185" s="22" t="s">
        <v>542</v>
      </c>
      <c r="Q185" s="17" t="s">
        <v>491</v>
      </c>
      <c r="R185" s="17" t="s">
        <v>465</v>
      </c>
      <c r="S185" s="17" t="s">
        <v>490</v>
      </c>
      <c r="T185" s="17" t="s">
        <v>465</v>
      </c>
      <c r="U185" s="17" t="s">
        <v>41</v>
      </c>
      <c r="V185" s="17" t="s">
        <v>465</v>
      </c>
      <c r="W185" s="17" t="s">
        <v>465</v>
      </c>
      <c r="X185" s="17" t="s">
        <v>541</v>
      </c>
      <c r="Y185" s="17" t="s">
        <v>541</v>
      </c>
      <c r="Z185" s="17" t="s">
        <v>541</v>
      </c>
    </row>
    <row r="186" spans="1:26">
      <c r="A186" s="17">
        <v>2</v>
      </c>
      <c r="B186" s="14" t="s">
        <v>465</v>
      </c>
      <c r="C186" s="14"/>
      <c r="D186" s="14" t="s">
        <v>465</v>
      </c>
      <c r="E186" s="14" t="s">
        <v>465</v>
      </c>
      <c r="F186" s="14" t="s">
        <v>465</v>
      </c>
      <c r="G186" s="14" t="s">
        <v>447</v>
      </c>
      <c r="H186" s="14" t="s">
        <v>540</v>
      </c>
      <c r="I186" s="14"/>
      <c r="J186" s="14" t="s">
        <v>539</v>
      </c>
      <c r="K186" s="14" t="s">
        <v>513</v>
      </c>
      <c r="L186" s="14" t="s">
        <v>532</v>
      </c>
      <c r="M186" s="15" t="s">
        <v>538</v>
      </c>
      <c r="N186" s="14" t="s">
        <v>537</v>
      </c>
      <c r="O186" s="14" t="s">
        <v>536</v>
      </c>
      <c r="P186" s="14" t="s">
        <v>535</v>
      </c>
      <c r="Q186" s="14" t="s">
        <v>534</v>
      </c>
      <c r="R186" s="14" t="s">
        <v>465</v>
      </c>
      <c r="S186" s="14" t="s">
        <v>33</v>
      </c>
      <c r="T186" s="14" t="s">
        <v>465</v>
      </c>
      <c r="U186" s="14" t="s">
        <v>533</v>
      </c>
      <c r="V186" s="14" t="s">
        <v>465</v>
      </c>
      <c r="W186" s="14" t="s">
        <v>532</v>
      </c>
      <c r="X186" s="14" t="s">
        <v>532</v>
      </c>
      <c r="Y186" s="14" t="s">
        <v>531</v>
      </c>
      <c r="Z186" s="14" t="s">
        <v>530</v>
      </c>
    </row>
    <row r="187" spans="1:26">
      <c r="A187" s="17">
        <v>1</v>
      </c>
      <c r="B187" s="19" t="s">
        <v>402</v>
      </c>
      <c r="C187" s="19" t="s">
        <v>505</v>
      </c>
      <c r="D187" s="19" t="s">
        <v>87</v>
      </c>
      <c r="E187" s="19" t="s">
        <v>529</v>
      </c>
      <c r="F187" s="19" t="s">
        <v>465</v>
      </c>
      <c r="G187" s="19" t="s">
        <v>401</v>
      </c>
      <c r="H187" s="19" t="s">
        <v>444</v>
      </c>
      <c r="I187" s="19" t="s">
        <v>528</v>
      </c>
      <c r="J187" s="19" t="s">
        <v>514</v>
      </c>
      <c r="K187" s="19" t="s">
        <v>513</v>
      </c>
      <c r="L187" s="19" t="s">
        <v>524</v>
      </c>
      <c r="M187" s="21" t="s">
        <v>527</v>
      </c>
      <c r="N187" s="19" t="s">
        <v>465</v>
      </c>
      <c r="O187" s="19" t="s">
        <v>526</v>
      </c>
      <c r="P187" s="20" t="s">
        <v>525</v>
      </c>
      <c r="Q187" s="19" t="s">
        <v>138</v>
      </c>
      <c r="R187" s="19" t="s">
        <v>41</v>
      </c>
      <c r="S187" s="19" t="s">
        <v>490</v>
      </c>
      <c r="T187" s="19" t="s">
        <v>465</v>
      </c>
      <c r="U187" s="19" t="s">
        <v>521</v>
      </c>
      <c r="V187" s="19" t="s">
        <v>465</v>
      </c>
      <c r="W187" s="19" t="s">
        <v>465</v>
      </c>
      <c r="X187" s="19" t="s">
        <v>524</v>
      </c>
      <c r="Y187" s="19" t="s">
        <v>523</v>
      </c>
      <c r="Z187" s="19" t="s">
        <v>522</v>
      </c>
    </row>
    <row r="188" spans="1:26">
      <c r="A188" s="17">
        <v>0</v>
      </c>
      <c r="B188" s="17" t="s">
        <v>465</v>
      </c>
      <c r="C188" s="17"/>
      <c r="D188" s="17" t="s">
        <v>81</v>
      </c>
      <c r="E188" s="17" t="s">
        <v>521</v>
      </c>
      <c r="F188" s="17" t="s">
        <v>465</v>
      </c>
      <c r="G188" s="17" t="s">
        <v>424</v>
      </c>
      <c r="H188" s="17" t="s">
        <v>520</v>
      </c>
      <c r="I188" s="17"/>
      <c r="J188" s="17" t="s">
        <v>465</v>
      </c>
      <c r="K188" s="17" t="s">
        <v>465</v>
      </c>
      <c r="L188" s="17" t="s">
        <v>516</v>
      </c>
      <c r="M188" s="18" t="s">
        <v>519</v>
      </c>
      <c r="N188" s="17" t="s">
        <v>465</v>
      </c>
      <c r="O188" s="17" t="s">
        <v>518</v>
      </c>
      <c r="P188" s="22" t="s">
        <v>517</v>
      </c>
      <c r="Q188" s="17" t="s">
        <v>498</v>
      </c>
      <c r="R188" s="17" t="s">
        <v>138</v>
      </c>
      <c r="S188" s="17" t="s">
        <v>490</v>
      </c>
      <c r="T188" s="17" t="s">
        <v>465</v>
      </c>
      <c r="U188" s="17" t="s">
        <v>159</v>
      </c>
      <c r="V188" s="17" t="s">
        <v>465</v>
      </c>
      <c r="W188" s="17" t="s">
        <v>465</v>
      </c>
      <c r="X188" s="17" t="s">
        <v>516</v>
      </c>
      <c r="Y188" s="17" t="s">
        <v>516</v>
      </c>
      <c r="Z188" s="17" t="s">
        <v>516</v>
      </c>
    </row>
    <row r="189" spans="1:26">
      <c r="A189" s="17">
        <v>2</v>
      </c>
      <c r="B189" s="14" t="s">
        <v>465</v>
      </c>
      <c r="C189" s="14"/>
      <c r="D189" s="14" t="s">
        <v>465</v>
      </c>
      <c r="E189" s="14" t="s">
        <v>465</v>
      </c>
      <c r="F189" s="14" t="s">
        <v>465</v>
      </c>
      <c r="G189" s="14" t="s">
        <v>450</v>
      </c>
      <c r="H189" s="14" t="s">
        <v>515</v>
      </c>
      <c r="I189" s="14"/>
      <c r="J189" s="14" t="s">
        <v>514</v>
      </c>
      <c r="K189" s="14" t="s">
        <v>513</v>
      </c>
      <c r="L189" s="14" t="s">
        <v>508</v>
      </c>
      <c r="M189" s="15" t="s">
        <v>512</v>
      </c>
      <c r="N189" s="14" t="s">
        <v>511</v>
      </c>
      <c r="O189" s="14" t="s">
        <v>493</v>
      </c>
      <c r="P189" s="14" t="s">
        <v>510</v>
      </c>
      <c r="Q189" s="14" t="s">
        <v>138</v>
      </c>
      <c r="R189" s="14" t="s">
        <v>509</v>
      </c>
      <c r="S189" s="14" t="s">
        <v>33</v>
      </c>
      <c r="T189" s="14" t="s">
        <v>465</v>
      </c>
      <c r="U189" s="14" t="s">
        <v>484</v>
      </c>
      <c r="V189" s="14" t="s">
        <v>465</v>
      </c>
      <c r="W189" s="14" t="s">
        <v>508</v>
      </c>
      <c r="X189" s="14" t="s">
        <v>508</v>
      </c>
      <c r="Y189" s="14" t="s">
        <v>507</v>
      </c>
      <c r="Z189" s="14" t="s">
        <v>506</v>
      </c>
    </row>
    <row r="190" spans="1:26">
      <c r="A190" s="17">
        <v>1</v>
      </c>
      <c r="B190" s="19" t="s">
        <v>454</v>
      </c>
      <c r="C190" s="19" t="s">
        <v>505</v>
      </c>
      <c r="D190" s="19" t="s">
        <v>33</v>
      </c>
      <c r="E190" s="19" t="s">
        <v>504</v>
      </c>
      <c r="F190" s="19" t="s">
        <v>465</v>
      </c>
      <c r="G190" s="19" t="s">
        <v>456</v>
      </c>
      <c r="H190" s="19" t="s">
        <v>499</v>
      </c>
      <c r="I190" s="19" t="s">
        <v>503</v>
      </c>
      <c r="J190" s="19" t="s">
        <v>496</v>
      </c>
      <c r="K190" s="19" t="s">
        <v>465</v>
      </c>
      <c r="L190" s="19" t="s">
        <v>500</v>
      </c>
      <c r="M190" s="21" t="s">
        <v>495</v>
      </c>
      <c r="N190" s="19" t="s">
        <v>465</v>
      </c>
      <c r="O190" s="19" t="s">
        <v>493</v>
      </c>
      <c r="P190" s="20" t="s">
        <v>502</v>
      </c>
      <c r="Q190" s="19" t="s">
        <v>491</v>
      </c>
      <c r="R190" s="19" t="s">
        <v>465</v>
      </c>
      <c r="S190" s="19" t="s">
        <v>490</v>
      </c>
      <c r="T190" s="19" t="s">
        <v>465</v>
      </c>
      <c r="U190" s="19" t="s">
        <v>490</v>
      </c>
      <c r="V190" s="19" t="s">
        <v>465</v>
      </c>
      <c r="W190" s="19" t="s">
        <v>465</v>
      </c>
      <c r="X190" s="19" t="s">
        <v>500</v>
      </c>
      <c r="Y190" s="19" t="s">
        <v>501</v>
      </c>
      <c r="Z190" s="19" t="s">
        <v>500</v>
      </c>
    </row>
    <row r="191" spans="1:26">
      <c r="A191" s="17">
        <v>0</v>
      </c>
      <c r="B191" s="17" t="s">
        <v>465</v>
      </c>
      <c r="C191" s="17"/>
      <c r="D191" s="17" t="s">
        <v>24</v>
      </c>
      <c r="E191" s="17" t="s">
        <v>465</v>
      </c>
      <c r="F191" s="17" t="s">
        <v>465</v>
      </c>
      <c r="G191" s="17" t="s">
        <v>499</v>
      </c>
      <c r="H191" s="17" t="s">
        <v>497</v>
      </c>
      <c r="I191" s="17"/>
      <c r="J191" s="17" t="s">
        <v>465</v>
      </c>
      <c r="K191" s="17" t="s">
        <v>465</v>
      </c>
      <c r="L191" s="17" t="s">
        <v>489</v>
      </c>
      <c r="M191" s="18" t="s">
        <v>465</v>
      </c>
      <c r="N191" s="17" t="s">
        <v>465</v>
      </c>
      <c r="O191" s="17" t="s">
        <v>498</v>
      </c>
      <c r="P191" s="17" t="s">
        <v>465</v>
      </c>
      <c r="Q191" s="17" t="s">
        <v>498</v>
      </c>
      <c r="R191" s="17" t="s">
        <v>465</v>
      </c>
      <c r="S191" s="17" t="s">
        <v>465</v>
      </c>
      <c r="T191" s="17" t="s">
        <v>465</v>
      </c>
      <c r="U191" s="17" t="s">
        <v>465</v>
      </c>
      <c r="V191" s="17" t="s">
        <v>489</v>
      </c>
      <c r="W191" s="17" t="s">
        <v>465</v>
      </c>
      <c r="X191" s="17" t="s">
        <v>489</v>
      </c>
      <c r="Y191" s="17" t="s">
        <v>489</v>
      </c>
      <c r="Z191" s="17" t="s">
        <v>489</v>
      </c>
    </row>
    <row r="192" spans="1:26">
      <c r="A192" s="17">
        <v>2</v>
      </c>
      <c r="B192" s="14" t="s">
        <v>465</v>
      </c>
      <c r="C192" s="14"/>
      <c r="D192" s="14" t="s">
        <v>465</v>
      </c>
      <c r="E192" s="14" t="s">
        <v>465</v>
      </c>
      <c r="F192" s="14" t="s">
        <v>465</v>
      </c>
      <c r="G192" s="14" t="s">
        <v>458</v>
      </c>
      <c r="H192" s="14" t="s">
        <v>497</v>
      </c>
      <c r="I192" s="14"/>
      <c r="J192" s="14" t="s">
        <v>496</v>
      </c>
      <c r="K192" s="14" t="s">
        <v>465</v>
      </c>
      <c r="L192" s="14" t="s">
        <v>487</v>
      </c>
      <c r="M192" s="15" t="s">
        <v>495</v>
      </c>
      <c r="N192" s="14" t="s">
        <v>494</v>
      </c>
      <c r="O192" s="14" t="s">
        <v>493</v>
      </c>
      <c r="P192" s="14" t="s">
        <v>492</v>
      </c>
      <c r="Q192" s="14" t="s">
        <v>491</v>
      </c>
      <c r="R192" s="14" t="s">
        <v>465</v>
      </c>
      <c r="S192" s="14" t="s">
        <v>490</v>
      </c>
      <c r="T192" s="14" t="s">
        <v>465</v>
      </c>
      <c r="U192" s="14" t="s">
        <v>490</v>
      </c>
      <c r="V192" s="14" t="s">
        <v>489</v>
      </c>
      <c r="W192" s="14" t="s">
        <v>487</v>
      </c>
      <c r="X192" s="14" t="s">
        <v>487</v>
      </c>
      <c r="Y192" s="14" t="s">
        <v>488</v>
      </c>
      <c r="Z192" s="14" t="s">
        <v>487</v>
      </c>
    </row>
    <row r="193" spans="1:26">
      <c r="A193" s="17">
        <v>8</v>
      </c>
      <c r="B193" s="17" t="s">
        <v>486</v>
      </c>
      <c r="C193" s="17"/>
      <c r="D193" s="17"/>
      <c r="E193" s="17"/>
      <c r="F193" s="17"/>
      <c r="G193" s="17"/>
      <c r="H193" s="17"/>
      <c r="I193" s="17"/>
      <c r="J193" s="17" t="s">
        <v>485</v>
      </c>
      <c r="K193" s="17" t="s">
        <v>484</v>
      </c>
      <c r="L193" s="17" t="s">
        <v>479</v>
      </c>
      <c r="M193" s="18" t="s">
        <v>483</v>
      </c>
      <c r="N193" s="17" t="s">
        <v>465</v>
      </c>
      <c r="O193" s="17" t="s">
        <v>482</v>
      </c>
      <c r="P193" s="17"/>
      <c r="Q193" s="17" t="s">
        <v>481</v>
      </c>
      <c r="R193" s="17" t="s">
        <v>33</v>
      </c>
      <c r="S193" s="17" t="s">
        <v>233</v>
      </c>
      <c r="T193" s="17" t="s">
        <v>465</v>
      </c>
      <c r="U193" s="17" t="s">
        <v>87</v>
      </c>
      <c r="V193" s="17" t="s">
        <v>480</v>
      </c>
      <c r="W193" s="17" t="s">
        <v>465</v>
      </c>
      <c r="X193" s="17" t="s">
        <v>479</v>
      </c>
      <c r="Y193" s="17" t="s">
        <v>478</v>
      </c>
      <c r="Z193" s="17" t="s">
        <v>477</v>
      </c>
    </row>
    <row r="194" spans="1:26">
      <c r="A194" s="16">
        <v>4</v>
      </c>
      <c r="B194" s="14" t="s">
        <v>476</v>
      </c>
      <c r="C194" s="14"/>
      <c r="D194" s="14"/>
      <c r="E194" s="14"/>
      <c r="F194" s="14"/>
      <c r="G194" s="14"/>
      <c r="H194" s="14"/>
      <c r="I194" s="14"/>
      <c r="J194" s="14" t="s">
        <v>475</v>
      </c>
      <c r="K194" s="14" t="s">
        <v>474</v>
      </c>
      <c r="L194" s="14" t="s">
        <v>464</v>
      </c>
      <c r="M194" s="15" t="s">
        <v>473</v>
      </c>
      <c r="N194" s="14" t="s">
        <v>465</v>
      </c>
      <c r="O194" s="14" t="s">
        <v>472</v>
      </c>
      <c r="P194" s="14" t="s">
        <v>471</v>
      </c>
      <c r="Q194" s="14" t="s">
        <v>470</v>
      </c>
      <c r="R194" s="14" t="s">
        <v>469</v>
      </c>
      <c r="S194" s="14" t="s">
        <v>468</v>
      </c>
      <c r="T194" s="14" t="s">
        <v>465</v>
      </c>
      <c r="U194" s="14" t="s">
        <v>467</v>
      </c>
      <c r="V194" s="14" t="s">
        <v>466</v>
      </c>
      <c r="W194" s="14" t="s">
        <v>465</v>
      </c>
      <c r="X194" s="14" t="s">
        <v>464</v>
      </c>
      <c r="Y194" s="14" t="s">
        <v>463</v>
      </c>
      <c r="Z194" s="14" t="s">
        <v>462</v>
      </c>
    </row>
  </sheetData>
  <mergeCells count="22">
    <mergeCell ref="F5:F6"/>
    <mergeCell ref="G5:G6"/>
    <mergeCell ref="H5:H6"/>
    <mergeCell ref="I5:I6"/>
    <mergeCell ref="B5:B6"/>
    <mergeCell ref="C5:C6"/>
    <mergeCell ref="D5:D6"/>
    <mergeCell ref="E5:E6"/>
    <mergeCell ref="N5:N6"/>
    <mergeCell ref="R5:R6"/>
    <mergeCell ref="S5:S6"/>
    <mergeCell ref="T5:T6"/>
    <mergeCell ref="J5:J6"/>
    <mergeCell ref="K5:K6"/>
    <mergeCell ref="L5:L6"/>
    <mergeCell ref="M5:M6"/>
    <mergeCell ref="Y5:Y6"/>
    <mergeCell ref="Z5:Z6"/>
    <mergeCell ref="U5:U6"/>
    <mergeCell ref="V5:V6"/>
    <mergeCell ref="W5:W6"/>
    <mergeCell ref="X5:X6"/>
  </mergeCells>
  <pageMargins left="0.23622047244094491" right="0.23622047244094491" top="0.74803149606299213" bottom="0.74803149606299213" header="0.31496062992125984" footer="0.31496062992125984"/>
  <pageSetup paperSize="8" scale="91" fitToHeight="0" pageOrder="overThenDown" orientation="portrait" r:id="rId1"/>
  <headerFooter alignWithMargins="0">
    <oddFooter>&amp;L&amp;8&amp;D  &amp;T  &amp;F&amp;R&amp;8Seite &amp;P/&amp;N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0B1E3D797D20944879319579A54C2A0" ma:contentTypeVersion="11" ma:contentTypeDescription="Ein neues Dokument erstellen." ma:contentTypeScope="" ma:versionID="8d130c11426e80afc45bd618a47fe408">
  <xsd:schema xmlns:xsd="http://www.w3.org/2001/XMLSchema" xmlns:xs="http://www.w3.org/2001/XMLSchema" xmlns:p="http://schemas.microsoft.com/office/2006/metadata/properties" xmlns:ns2="e16dc7de-755e-4249-8619-7ab8ea419d66" targetNamespace="http://schemas.microsoft.com/office/2006/metadata/properties" ma:root="true" ma:fieldsID="36e2f2f063be13d8f289c9d3228ec0ac" ns2:_="">
    <xsd:import namespace="e16dc7de-755e-4249-8619-7ab8ea419d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6dc7de-755e-4249-8619-7ab8ea419d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Bildmarkierungen" ma:readOnly="false" ma:fieldId="{5cf76f15-5ced-4ddc-b409-7134ff3c332f}" ma:taxonomyMulti="true" ma:sspId="0d6c94dc-9936-4696-a9bb-5e582cc0cad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16dc7de-755e-4249-8619-7ab8ea419d66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6F0A3F8-5345-4C88-91D1-C8A846F206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16dc7de-755e-4249-8619-7ab8ea419d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E8B3114-F09C-40B9-8323-AC0E12F1B66E}">
  <ds:schemaRefs>
    <ds:schemaRef ds:uri="http://schemas.microsoft.com/office/2006/metadata/properties"/>
    <ds:schemaRef ds:uri="http://schemas.microsoft.com/office/infopath/2007/PartnerControls"/>
    <ds:schemaRef ds:uri="e16dc7de-755e-4249-8619-7ab8ea419d66"/>
  </ds:schemaRefs>
</ds:datastoreItem>
</file>

<file path=customXml/itemProps3.xml><?xml version="1.0" encoding="utf-8"?>
<ds:datastoreItem xmlns:ds="http://schemas.openxmlformats.org/officeDocument/2006/customXml" ds:itemID="{92B5A344-BAB2-4DF6-8CE5-FADE534FA1A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Diensterklärung</vt:lpstr>
      <vt:lpstr>Kontrolle</vt:lpstr>
      <vt:lpstr>DUe</vt:lpstr>
      <vt:lpstr>DUe!Drucktitel</vt:lpstr>
    </vt:vector>
  </TitlesOfParts>
  <Company>IVU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 Böhringer</dc:creator>
  <cp:lastModifiedBy>Jörg Ziegler</cp:lastModifiedBy>
  <cp:lastPrinted>2026-07-06T09:43:41Z</cp:lastPrinted>
  <dcterms:created xsi:type="dcterms:W3CDTF">1997-01-23T12:58:38Z</dcterms:created>
  <dcterms:modified xsi:type="dcterms:W3CDTF">2026-07-06T09:47:05Z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0x010100B0B1E3D797D20944879319579A54C2A0</vt:lpwstr>
  </property>
  <property fmtid="{D5CDD505-2E9C-101B-9397-08002B2CF9AE}" pid="3" name="MediaServiceImageTags">
    <vt:lpwstr/>
  </property>
</Properties>
</file>